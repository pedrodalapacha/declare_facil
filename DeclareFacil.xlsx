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pedro\Downloads\"/>
    </mc:Choice>
  </mc:AlternateContent>
  <xr:revisionPtr revIDLastSave="0" documentId="13_ncr:1_{469A5204-BF41-49AA-9FC8-1D4AC5D412E3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TITULAR" sheetId="1" r:id="rId1"/>
    <sheet name="INFORMES" sheetId="2" r:id="rId2"/>
    <sheet name="NOTAS" sheetId="3" r:id="rId3"/>
    <sheet name="TABELAS" sheetId="4" state="hidden" r:id="rId4"/>
  </sheets>
  <definedNames>
    <definedName name="ListaBancos">TABELAS!$A$2:$A$51</definedName>
    <definedName name="ListaCategorias">TABELAS!$C$2:$C$4</definedName>
  </definedNames>
  <calcPr calcId="191029"/>
</workbook>
</file>

<file path=xl/calcChain.xml><?xml version="1.0" encoding="utf-8"?>
<calcChain xmlns="http://schemas.openxmlformats.org/spreadsheetml/2006/main">
  <c r="D5" i="3" l="1"/>
  <c r="E22" i="2"/>
  <c r="E17" i="2"/>
  <c r="E12" i="2"/>
  <c r="C7" i="2"/>
  <c r="E16" i="1"/>
  <c r="E7" i="1"/>
</calcChain>
</file>

<file path=xl/sharedStrings.xml><?xml version="1.0" encoding="utf-8"?>
<sst xmlns="http://schemas.openxmlformats.org/spreadsheetml/2006/main" count="130" uniqueCount="108">
  <si>
    <t>1. DADOS DO TITULAR</t>
  </si>
  <si>
    <t>Preencha os dados da sua pessoa física abaixo</t>
  </si>
  <si>
    <t>NOME</t>
  </si>
  <si>
    <t>JOÃO DA SILVA EXEMPLO</t>
  </si>
  <si>
    <t>texto livre</t>
  </si>
  <si>
    <t>CPF</t>
  </si>
  <si>
    <t>NASCIMENTO</t>
  </si>
  <si>
    <t>dd/mm/aaaa</t>
  </si>
  <si>
    <t>TÍTULO DE ELEITOR</t>
  </si>
  <si>
    <t>somente números (12 dígitos)</t>
  </si>
  <si>
    <t>CÔNJUGE</t>
  </si>
  <si>
    <t>Maria Oliveira Exemplo</t>
  </si>
  <si>
    <t>deixe em branco se não houver</t>
  </si>
  <si>
    <t>RUA</t>
  </si>
  <si>
    <t>Rua das Palmeiras, Jardim Verde - Nº 180</t>
  </si>
  <si>
    <t>endereço completo</t>
  </si>
  <si>
    <t>RUA ABREVIADA</t>
  </si>
  <si>
    <t>R. das Palmeiras, Jd. Verde - 180</t>
  </si>
  <si>
    <t>máx. 40 caracteres</t>
  </si>
  <si>
    <t>CEP</t>
  </si>
  <si>
    <t>somente números (8 dígitos)</t>
  </si>
  <si>
    <t>TELEFONE</t>
  </si>
  <si>
    <t>DDD + 8 dígitos</t>
  </si>
  <si>
    <t>CELULAR</t>
  </si>
  <si>
    <t>DDD + 9 dígitos</t>
  </si>
  <si>
    <t>E-MAIL</t>
  </si>
  <si>
    <t>joao.exemplo@email.com</t>
  </si>
  <si>
    <t>HOUVE ALTERAÇÕES DA ENTREGA ANTERIOR</t>
  </si>
  <si>
    <t>SIM</t>
  </si>
  <si>
    <t>selecione na lista</t>
  </si>
  <si>
    <t>DEPENDENTE CÔNJUGE</t>
  </si>
  <si>
    <t>NÃO</t>
  </si>
  <si>
    <t>RESIDENTE DO EXTERIOR</t>
  </si>
  <si>
    <t>2. INFORMES DE RENDIMENTOS BANCÁRIOS</t>
  </si>
  <si>
    <t>Preencha com seus dados atuais de cada banco</t>
  </si>
  <si>
    <t>TOTAL</t>
  </si>
  <si>
    <t>1º Banco</t>
  </si>
  <si>
    <t>BANCO</t>
  </si>
  <si>
    <t>336 - C6 Bank</t>
  </si>
  <si>
    <t>VALOR ATUAL</t>
  </si>
  <si>
    <t>saldo em 31/12</t>
  </si>
  <si>
    <t>ANEXO 🖇️</t>
  </si>
  <si>
    <t>informe_c6_2025.pdf</t>
  </si>
  <si>
    <t>2º Banco</t>
  </si>
  <si>
    <t>33 - Banco Santander</t>
  </si>
  <si>
    <t>informe_santander_2025.pdf</t>
  </si>
  <si>
    <t>3º Banco</t>
  </si>
  <si>
    <t>260 - Nubank</t>
  </si>
  <si>
    <t>informe_nubank_2025.pdf</t>
  </si>
  <si>
    <t>3. NOTAS BANCÁRIAS OU EXTRATO DE HOLERITES</t>
  </si>
  <si>
    <t>São todos os valores de entrada mês a mês de receita</t>
  </si>
  <si>
    <t>TOTAL DE ENTRADAS</t>
  </si>
  <si>
    <t>ENTRADAS</t>
  </si>
  <si>
    <t>DATA</t>
  </si>
  <si>
    <t>CATEGORIA</t>
  </si>
  <si>
    <t>VALOR</t>
  </si>
  <si>
    <t>HOLERITE</t>
  </si>
  <si>
    <t>FREELANCE</t>
  </si>
  <si>
    <t>CNPJ</t>
  </si>
  <si>
    <t>bancos</t>
  </si>
  <si>
    <t>categorias</t>
  </si>
  <si>
    <t>1 - Banco do Brasil</t>
  </si>
  <si>
    <t>102 - XP Investimentos CCTVM S.A.</t>
  </si>
  <si>
    <t>104 - Caixa Econômica Federal</t>
  </si>
  <si>
    <t>119 - Banco Western Union do Brasil</t>
  </si>
  <si>
    <t>184 - Banco Itaú BBA S.A.</t>
  </si>
  <si>
    <t>197 - Stone Pagamentos</t>
  </si>
  <si>
    <t>208 - Banco BTG Pactual</t>
  </si>
  <si>
    <t>212 - Banco Original</t>
  </si>
  <si>
    <t>218 - Banco Bonsucesso</t>
  </si>
  <si>
    <t>229 - Banco Cruzeiro do Sul</t>
  </si>
  <si>
    <t>237 - Banco Bradesco</t>
  </si>
  <si>
    <t>24 - Banco de Pernambuco</t>
  </si>
  <si>
    <t>241 - Banco Clássico</t>
  </si>
  <si>
    <t>250 - Banco de Crédito e Varejo (BCV)</t>
  </si>
  <si>
    <t>29 - Banco do Estado do Rio de Janeiro</t>
  </si>
  <si>
    <t>290 - PagBank</t>
  </si>
  <si>
    <t>3 - Banco da Amazônia</t>
  </si>
  <si>
    <t>341 - Itaú Unibanco</t>
  </si>
  <si>
    <t>37 - Banco do Estado do Pará</t>
  </si>
  <si>
    <t>376 - Banco JPMorgan S.A.</t>
  </si>
  <si>
    <t>380 - PicPay</t>
  </si>
  <si>
    <t>4 - Banco do Nordeste do Brasil</t>
  </si>
  <si>
    <t>41 - Banco do Estado do Rio Grande do Sul</t>
  </si>
  <si>
    <t>422 - Banco Safra</t>
  </si>
  <si>
    <t>44 - Banco BVA</t>
  </si>
  <si>
    <t>464 - Banco Sumitomo Mitsui Brasileiro</t>
  </si>
  <si>
    <t>477 - Citibank</t>
  </si>
  <si>
    <t>600 - Banco Luso Brasileiro</t>
  </si>
  <si>
    <t>604 - Banco Industrial do Brasil</t>
  </si>
  <si>
    <t>610 - Banco VR</t>
  </si>
  <si>
    <t>62 - Hipercard Banco Múltiplo</t>
  </si>
  <si>
    <t>634 - Banco Triângulo</t>
  </si>
  <si>
    <t>65 - Banco Lemon</t>
  </si>
  <si>
    <t>654 - Banco AJ Renner</t>
  </si>
  <si>
    <t>655 - Banco Votorantim</t>
  </si>
  <si>
    <t>66 - Banco Morgan Stanley</t>
  </si>
  <si>
    <t>707 - Banco Daycoval</t>
  </si>
  <si>
    <t>72 - Banco Rural Mais</t>
  </si>
  <si>
    <t>734 - Banco Gerdau</t>
  </si>
  <si>
    <t>735 - Banco Neon</t>
  </si>
  <si>
    <t>74 - Banco J. Safra</t>
  </si>
  <si>
    <t>746 - Banco Modal</t>
  </si>
  <si>
    <t>748 - Banco Cooperativo Sicredi S.A.</t>
  </si>
  <si>
    <t>749 - Banco Simples</t>
  </si>
  <si>
    <t>77 - Banco Inter</t>
  </si>
  <si>
    <t>79 - Banco JBS</t>
  </si>
  <si>
    <t>82 - Banco Topázio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</si>
</sst>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000&quot;.&quot;000&quot;.&quot;000&quot;-&quot;00"/>
    <numFmt numFmtId="166" formatCode="0000&quot; &quot;0000&quot; &quot;0000"/>
    <numFmt numFmtId="167" formatCode="00000&quot;-&quot;000"/>
    <numFmt numFmtId="168" formatCode="&quot;(&quot;00&quot;) &quot;0000&quot;-&quot;0000"/>
    <numFmt numFmtId="169" formatCode="&quot;(&quot;00&quot;) &quot;00000&quot;-&quot;0000"/>
    <numFmt numFmtId="170" formatCode="&quot;R$&quot;\ #,##0.00"/>
    <numFmt numFmtId="171" formatCode="[$-416]mmmm/yyyy"/>
  </numFmts>
  <fonts count="15" x14ac:knownFonts="1">
    <font>
      <sz val="11"/>
      <color theme="1"/>
      <name val="Calibri"/>
      <family val="2"/>
      <scheme val="minor"/>
    </font>
    <font>
      <b/>
      <sz val="16"/>
      <color rgb="FF025930"/>
      <name val="Segoe UI Semibold"/>
    </font>
    <font>
      <i/>
      <sz val="10"/>
      <color rgb="FF31731F"/>
      <name val="Segoe UI"/>
    </font>
    <font>
      <b/>
      <sz val="10"/>
      <color rgb="FF005741"/>
      <name val="Segoe UI"/>
    </font>
    <font>
      <sz val="11"/>
      <color rgb="FF025930"/>
      <name val="Segoe UI"/>
    </font>
    <font>
      <i/>
      <sz val="9"/>
      <color rgb="FF6B8F84"/>
      <name val="Segoe UI"/>
    </font>
    <font>
      <b/>
      <sz val="10"/>
      <color rgb="FF31731F"/>
      <name val="Segoe UI"/>
    </font>
    <font>
      <u/>
      <sz val="10"/>
      <color rgb="FF31731F"/>
      <name val="Segoe UI"/>
    </font>
    <font>
      <u/>
      <sz val="11"/>
      <color rgb="FF025930"/>
      <name val="Segoe UI"/>
    </font>
    <font>
      <b/>
      <sz val="14"/>
      <color rgb="FFE6F3F2"/>
      <name val="Segoe UI"/>
    </font>
    <font>
      <b/>
      <sz val="8"/>
      <color rgb="FF478C27"/>
      <name val="Segoe UI"/>
    </font>
    <font>
      <b/>
      <sz val="12"/>
      <color rgb="FFE6F3F2"/>
      <name val="Segoe UI"/>
    </font>
    <font>
      <b/>
      <sz val="11"/>
      <color rgb="FFFFFFFF"/>
      <name val="Segoe UI"/>
    </font>
    <font>
      <b/>
      <sz val="10"/>
      <color rgb="FFFFFFFF"/>
      <name val="Segoe UI"/>
    </font>
    <font>
      <sz val="10"/>
      <color rgb="FF025930"/>
      <name val="Segoe UI"/>
    </font>
  </fonts>
  <fills count="6">
    <fill>
      <patternFill patternType="none"/>
    </fill>
    <fill>
      <patternFill patternType="gray125"/>
    </fill>
    <fill>
      <patternFill patternType="solid">
        <fgColor rgb="FF005741"/>
      </patternFill>
    </fill>
    <fill>
      <patternFill patternType="solid">
        <fgColor rgb="FFE6F3F2"/>
      </patternFill>
    </fill>
    <fill>
      <patternFill patternType="solid">
        <fgColor rgb="FF025930"/>
      </patternFill>
    </fill>
    <fill>
      <patternFill patternType="solid">
        <fgColor rgb="FF478C27"/>
      </patternFill>
    </fill>
  </fills>
  <borders count="4">
    <border>
      <left/>
      <right/>
      <top/>
      <bottom/>
      <diagonal/>
    </border>
    <border>
      <left/>
      <right/>
      <top/>
      <bottom style="medium">
        <color rgb="FF478C27"/>
      </bottom>
      <diagonal/>
    </border>
    <border>
      <left/>
      <right/>
      <top/>
      <bottom style="thin">
        <color rgb="FFCFE5E3"/>
      </bottom>
      <diagonal/>
    </border>
    <border>
      <left/>
      <right/>
      <top/>
      <bottom style="thin">
        <color rgb="FF478C27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0" fillId="2" borderId="0" xfId="0" applyFill="1"/>
    <xf numFmtId="0" fontId="1" fillId="0" borderId="1" xfId="0" applyFont="1" applyBorder="1" applyAlignment="1">
      <alignment vertical="center"/>
    </xf>
    <xf numFmtId="0" fontId="0" fillId="0" borderId="1" xfId="0" applyBorder="1"/>
    <xf numFmtId="0" fontId="3" fillId="0" borderId="2" xfId="0" applyFont="1" applyBorder="1" applyAlignment="1">
      <alignment vertical="center" indent="1"/>
    </xf>
    <xf numFmtId="0" fontId="4" fillId="3" borderId="3" xfId="0" applyFont="1" applyFill="1" applyBorder="1" applyAlignment="1">
      <alignment horizontal="left" vertical="center" indent="1"/>
    </xf>
    <xf numFmtId="0" fontId="5" fillId="0" borderId="0" xfId="0" applyFont="1" applyAlignment="1">
      <alignment vertical="center" indent="1"/>
    </xf>
    <xf numFmtId="164" fontId="4" fillId="3" borderId="3" xfId="0" applyNumberFormat="1" applyFont="1" applyFill="1" applyBorder="1" applyAlignment="1">
      <alignment horizontal="left" vertical="center" indent="1"/>
    </xf>
    <xf numFmtId="0" fontId="6" fillId="0" borderId="0" xfId="0" applyFont="1" applyAlignment="1">
      <alignment vertical="center" indent="1"/>
    </xf>
    <xf numFmtId="14" fontId="4" fillId="3" borderId="3" xfId="0" applyNumberFormat="1" applyFont="1" applyFill="1" applyBorder="1" applyAlignment="1">
      <alignment horizontal="left" vertical="center" indent="1"/>
    </xf>
    <xf numFmtId="166" fontId="4" fillId="3" borderId="3" xfId="0" applyNumberFormat="1" applyFont="1" applyFill="1" applyBorder="1" applyAlignment="1">
      <alignment horizontal="left" vertical="center" indent="1"/>
    </xf>
    <xf numFmtId="167" fontId="4" fillId="3" borderId="3" xfId="0" applyNumberFormat="1" applyFont="1" applyFill="1" applyBorder="1" applyAlignment="1">
      <alignment horizontal="left" vertical="center" indent="1"/>
    </xf>
    <xf numFmtId="168" fontId="4" fillId="3" borderId="3" xfId="0" applyNumberFormat="1" applyFont="1" applyFill="1" applyBorder="1" applyAlignment="1">
      <alignment horizontal="left" vertical="center" indent="1"/>
    </xf>
    <xf numFmtId="169" fontId="4" fillId="3" borderId="3" xfId="0" applyNumberFormat="1" applyFont="1" applyFill="1" applyBorder="1" applyAlignment="1">
      <alignment horizontal="left" vertical="center" indent="1"/>
    </xf>
    <xf numFmtId="0" fontId="8" fillId="3" borderId="3" xfId="0" applyFont="1" applyFill="1" applyBorder="1" applyAlignment="1">
      <alignment horizontal="left" vertical="center" indent="1"/>
    </xf>
    <xf numFmtId="0" fontId="7" fillId="0" borderId="0" xfId="0" applyFont="1" applyAlignment="1">
      <alignment vertical="center" indent="1"/>
    </xf>
    <xf numFmtId="0" fontId="3" fillId="0" borderId="0" xfId="0" applyFont="1" applyAlignment="1">
      <alignment vertical="center" indent="1"/>
    </xf>
    <xf numFmtId="0" fontId="10" fillId="0" borderId="0" xfId="0" applyFont="1"/>
    <xf numFmtId="170" fontId="4" fillId="3" borderId="3" xfId="0" applyNumberFormat="1" applyFont="1" applyFill="1" applyBorder="1" applyAlignment="1">
      <alignment horizontal="left" vertical="center" indent="1"/>
    </xf>
    <xf numFmtId="170" fontId="11" fillId="4" borderId="0" xfId="0" applyNumberFormat="1" applyFont="1" applyFill="1" applyAlignment="1">
      <alignment horizontal="center" vertical="center"/>
    </xf>
    <xf numFmtId="0" fontId="13" fillId="2" borderId="0" xfId="0" applyFont="1" applyFill="1" applyAlignment="1">
      <alignment horizontal="center" vertical="center"/>
    </xf>
    <xf numFmtId="171" fontId="14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center" vertical="center"/>
    </xf>
    <xf numFmtId="170" fontId="14" fillId="0" borderId="0" xfId="0" applyNumberFormat="1" applyFont="1" applyAlignment="1">
      <alignment horizontal="center" vertical="center"/>
    </xf>
    <xf numFmtId="0" fontId="13" fillId="2" borderId="0" xfId="0" applyFont="1" applyFill="1"/>
    <xf numFmtId="0" fontId="14" fillId="0" borderId="0" xfId="0" applyFont="1"/>
    <xf numFmtId="0" fontId="2" fillId="3" borderId="0" xfId="0" applyFont="1" applyFill="1" applyAlignment="1">
      <alignment vertical="center" indent="1"/>
    </xf>
    <xf numFmtId="0" fontId="0" fillId="0" borderId="0" xfId="0"/>
    <xf numFmtId="170" fontId="9" fillId="4" borderId="0" xfId="0" applyNumberFormat="1" applyFont="1" applyFill="1" applyAlignment="1">
      <alignment horizontal="center" vertical="center"/>
    </xf>
    <xf numFmtId="0" fontId="0" fillId="4" borderId="0" xfId="0" applyFill="1"/>
    <xf numFmtId="0" fontId="12" fillId="5" borderId="0" xfId="0" applyFont="1" applyFill="1" applyAlignment="1">
      <alignment horizontal="center" vertical="center"/>
    </xf>
  </cellXfs>
  <cellStyles count="1">
    <cellStyle name="Normal" xfId="0" builtinId="0"/>
  </cellStyles>
  <dxfs count="5">
    <dxf>
      <fill>
        <patternFill patternType="solid">
          <fgColor rgb="FFFDECEA"/>
        </patternFill>
      </fill>
    </dxf>
    <dxf>
      <fill>
        <patternFill patternType="solid">
          <fgColor rgb="FFFDECEA"/>
        </patternFill>
      </fill>
    </dxf>
    <dxf>
      <fill>
        <patternFill patternType="solid">
          <fgColor rgb="FFFDECEA"/>
        </patternFill>
      </fill>
    </dxf>
    <dxf>
      <font>
        <b/>
        <color rgb="FF31731F"/>
      </font>
      <fill>
        <patternFill patternType="solid">
          <fgColor rgb="FFE6F3F2"/>
        </patternFill>
      </fill>
    </dxf>
    <dxf>
      <font>
        <b/>
        <color rgb="FFC0392B"/>
      </font>
      <fill>
        <patternFill patternType="solid">
          <fgColor rgb="FFFDECEA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hyperlink" Target="#'INFORMES'!A1"/><Relationship Id="rId2" Type="http://schemas.openxmlformats.org/officeDocument/2006/relationships/hyperlink" Target="#'TITULAR'!A1"/><Relationship Id="rId1" Type="http://schemas.openxmlformats.org/officeDocument/2006/relationships/image" Target="../media/image1.png"/><Relationship Id="rId6" Type="http://schemas.openxmlformats.org/officeDocument/2006/relationships/image" Target="../media/image2.png"/><Relationship Id="rId5" Type="http://schemas.openxmlformats.org/officeDocument/2006/relationships/hyperlink" Target="https://www.linkedin.com/in/pedro-christo-9001b62b4/" TargetMode="External"/><Relationship Id="rId4" Type="http://schemas.openxmlformats.org/officeDocument/2006/relationships/hyperlink" Target="#'NOTAS'!A1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hyperlink" Target="#'INFORMES'!A1"/><Relationship Id="rId2" Type="http://schemas.openxmlformats.org/officeDocument/2006/relationships/hyperlink" Target="#'TITULAR'!A1"/><Relationship Id="rId1" Type="http://schemas.openxmlformats.org/officeDocument/2006/relationships/image" Target="../media/image1.png"/><Relationship Id="rId6" Type="http://schemas.openxmlformats.org/officeDocument/2006/relationships/image" Target="../media/image2.png"/><Relationship Id="rId5" Type="http://schemas.openxmlformats.org/officeDocument/2006/relationships/hyperlink" Target="https://www.linkedin.com/in/pedro-christo-9001b62b4/" TargetMode="External"/><Relationship Id="rId4" Type="http://schemas.openxmlformats.org/officeDocument/2006/relationships/hyperlink" Target="#'NOTAS'!A1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hyperlink" Target="#'INFORMES'!A1"/><Relationship Id="rId2" Type="http://schemas.openxmlformats.org/officeDocument/2006/relationships/hyperlink" Target="#'TITULAR'!A1"/><Relationship Id="rId1" Type="http://schemas.openxmlformats.org/officeDocument/2006/relationships/image" Target="../media/image1.png"/><Relationship Id="rId6" Type="http://schemas.openxmlformats.org/officeDocument/2006/relationships/image" Target="../media/image2.png"/><Relationship Id="rId5" Type="http://schemas.openxmlformats.org/officeDocument/2006/relationships/hyperlink" Target="https://www.linkedin.com/in/pedro-christo-9001b62b4/" TargetMode="External"/><Relationship Id="rId4" Type="http://schemas.openxmlformats.org/officeDocument/2006/relationships/hyperlink" Target="#'NOTAS'!A1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54864</xdr:colOff>
      <xdr:row>0</xdr:row>
      <xdr:rowOff>128016</xdr:rowOff>
    </xdr:from>
    <xdr:to>
      <xdr:col>0</xdr:col>
      <xdr:colOff>2126361</xdr:colOff>
      <xdr:row>1</xdr:row>
      <xdr:rowOff>190500</xdr:rowOff>
    </xdr:to>
    <xdr:sp macro="" textlink="">
      <xdr:nvSpPr>
        <xdr:cNvPr id="11" name="Marca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SpPr/>
      </xdr:nvSpPr>
      <xdr:spPr>
        <a:xfrm>
          <a:off x="54864" y="128016"/>
          <a:ext cx="2071497" cy="329184"/>
        </a:xfrm>
        <a:prstGeom prst="rect">
          <a:avLst/>
        </a:prstGeom>
        <a:noFill/>
        <a:ln>
          <a:noFill/>
        </a:ln>
      </xdr:spPr>
      <xdr:txBody>
        <a:bodyPr wrap="square" lIns="45720" tIns="0" rIns="45720" bIns="0" rtlCol="0" anchor="ctr"/>
        <a:lstStyle/>
        <a:p>
          <a:pPr algn="ctr"/>
          <a:r>
            <a:rPr lang="pt-BR" sz="1800" b="1" spc="0">
              <a:solidFill>
                <a:srgbClr val="E6F3F2"/>
              </a:solidFill>
              <a:latin typeface="Arial Black"/>
              <a:cs typeface="Arial Black"/>
            </a:rPr>
            <a:t>DECLARE </a:t>
          </a:r>
          <a:r>
            <a:rPr lang="pt-BR" sz="1800" b="1" spc="0">
              <a:solidFill>
                <a:srgbClr val="8CC56A"/>
              </a:solidFill>
              <a:latin typeface="Arial Black"/>
              <a:cs typeface="Arial Black"/>
            </a:rPr>
            <a:t>FÁCIL</a:t>
          </a:r>
        </a:p>
      </xdr:txBody>
    </xdr:sp>
    <xdr:clientData/>
  </xdr:twoCellAnchor>
  <xdr:twoCellAnchor editAs="absolute">
    <xdr:from>
      <xdr:col>0</xdr:col>
      <xdr:colOff>16764</xdr:colOff>
      <xdr:row>2</xdr:row>
      <xdr:rowOff>57150</xdr:rowOff>
    </xdr:from>
    <xdr:to>
      <xdr:col>0</xdr:col>
      <xdr:colOff>2088261</xdr:colOff>
      <xdr:row>2</xdr:row>
      <xdr:rowOff>240030</xdr:rowOff>
    </xdr:to>
    <xdr:sp macro="" textlink="">
      <xdr:nvSpPr>
        <xdr:cNvPr id="12" name="Slogan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SpPr/>
      </xdr:nvSpPr>
      <xdr:spPr>
        <a:xfrm>
          <a:off x="16764" y="590550"/>
          <a:ext cx="2071497" cy="182880"/>
        </a:xfrm>
        <a:prstGeom prst="rect">
          <a:avLst/>
        </a:prstGeom>
        <a:noFill/>
        <a:ln>
          <a:noFill/>
        </a:ln>
      </xdr:spPr>
      <xdr:txBody>
        <a:bodyPr wrap="square" lIns="45720" tIns="0" rIns="45720" bIns="0" rtlCol="0" anchor="ctr"/>
        <a:lstStyle/>
        <a:p>
          <a:pPr algn="ctr"/>
          <a:r>
            <a:rPr lang="pt-BR" sz="850" b="0" spc="0">
              <a:solidFill>
                <a:srgbClr val="E6F3F2">
                  <a:alpha val="75000"/>
                </a:srgbClr>
              </a:solidFill>
              <a:latin typeface="Segoe UI"/>
              <a:cs typeface="Segoe UI"/>
            </a:rPr>
            <a:t>seu IR sem complicação</a:t>
          </a:r>
        </a:p>
      </xdr:txBody>
    </xdr:sp>
    <xdr:clientData/>
  </xdr:twoCellAnchor>
  <xdr:twoCellAnchor editAs="absolute">
    <xdr:from>
      <xdr:col>0</xdr:col>
      <xdr:colOff>633412</xdr:colOff>
      <xdr:row>2</xdr:row>
      <xdr:rowOff>216408</xdr:rowOff>
    </xdr:from>
    <xdr:to>
      <xdr:col>0</xdr:col>
      <xdr:colOff>1547812</xdr:colOff>
      <xdr:row>5</xdr:row>
      <xdr:rowOff>178308</xdr:rowOff>
    </xdr:to>
    <xdr:pic>
      <xdr:nvPicPr>
        <xdr:cNvPr id="13" name="Logo Declare Fácil" descr="Logo Declare Fácil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33412" y="749808"/>
          <a:ext cx="914400" cy="914400"/>
        </a:xfrm>
        <a:prstGeom prst="rect">
          <a:avLst/>
        </a:prstGeom>
      </xdr:spPr>
    </xdr:pic>
    <xdr:clientData/>
  </xdr:twoCellAnchor>
  <xdr:twoCellAnchor editAs="absolute">
    <xdr:from>
      <xdr:col>0</xdr:col>
      <xdr:colOff>128016</xdr:colOff>
      <xdr:row>6</xdr:row>
      <xdr:rowOff>121919</xdr:rowOff>
    </xdr:from>
    <xdr:to>
      <xdr:col>0</xdr:col>
      <xdr:colOff>2053209</xdr:colOff>
      <xdr:row>7</xdr:row>
      <xdr:rowOff>220979</xdr:rowOff>
    </xdr:to>
    <xdr:sp macro="" textlink="">
      <xdr:nvSpPr>
        <xdr:cNvPr id="14" name="Menu TITULAR">
          <a:hlinkClick xmlns:r="http://schemas.openxmlformats.org/officeDocument/2006/relationships" r:id="rId2" tooltip="Ir para TITULAR"/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SpPr/>
      </xdr:nvSpPr>
      <xdr:spPr>
        <a:xfrm>
          <a:off x="128016" y="1874519"/>
          <a:ext cx="1925193" cy="365760"/>
        </a:xfrm>
        <a:prstGeom prst="roundRect">
          <a:avLst>
            <a:gd name="adj" fmla="val 50000"/>
          </a:avLst>
        </a:prstGeom>
        <a:gradFill flip="none" rotWithShape="1">
          <a:gsLst>
            <a:gs pos="0">
              <a:srgbClr val="478C27"/>
            </a:gs>
            <a:gs pos="100000">
              <a:srgbClr val="31731F"/>
            </a:gs>
          </a:gsLst>
          <a:lin ang="0" scaled="1"/>
        </a:gradFill>
        <a:ln>
          <a:noFill/>
        </a:ln>
      </xdr:spPr>
      <xdr:txBody>
        <a:bodyPr wrap="square" lIns="45720" tIns="0" rIns="45720" bIns="0" rtlCol="0" anchor="ctr"/>
        <a:lstStyle/>
        <a:p>
          <a:pPr algn="ctr"/>
          <a:r>
            <a:rPr lang="pt-BR" sz="1300" b="1" spc="80">
              <a:solidFill>
                <a:srgbClr val="FFFFFF"/>
              </a:solidFill>
              <a:latin typeface="Segoe UI Semibold"/>
              <a:cs typeface="Segoe UI Semibold"/>
            </a:rPr>
            <a:t>● TITULAR</a:t>
          </a:r>
        </a:p>
      </xdr:txBody>
    </xdr:sp>
    <xdr:clientData/>
  </xdr:twoCellAnchor>
  <xdr:twoCellAnchor editAs="absolute">
    <xdr:from>
      <xdr:col>0</xdr:col>
      <xdr:colOff>128016</xdr:colOff>
      <xdr:row>8</xdr:row>
      <xdr:rowOff>64007</xdr:rowOff>
    </xdr:from>
    <xdr:to>
      <xdr:col>0</xdr:col>
      <xdr:colOff>2053209</xdr:colOff>
      <xdr:row>9</xdr:row>
      <xdr:rowOff>163067</xdr:rowOff>
    </xdr:to>
    <xdr:sp macro="" textlink="">
      <xdr:nvSpPr>
        <xdr:cNvPr id="15" name="Menu INFORMES">
          <a:hlinkClick xmlns:r="http://schemas.openxmlformats.org/officeDocument/2006/relationships" r:id="rId3" tooltip="Ir para INFORMES"/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SpPr/>
      </xdr:nvSpPr>
      <xdr:spPr>
        <a:xfrm>
          <a:off x="128016" y="2350007"/>
          <a:ext cx="1925193" cy="365760"/>
        </a:xfrm>
        <a:prstGeom prst="roundRect">
          <a:avLst>
            <a:gd name="adj" fmla="val 50000"/>
          </a:avLst>
        </a:prstGeom>
        <a:noFill/>
        <a:ln w="12700">
          <a:solidFill>
            <a:srgbClr val="E6F3F2">
              <a:alpha val="45000"/>
            </a:srgbClr>
          </a:solidFill>
        </a:ln>
      </xdr:spPr>
      <xdr:txBody>
        <a:bodyPr wrap="square" lIns="45720" tIns="0" rIns="45720" bIns="0" rtlCol="0" anchor="ctr"/>
        <a:lstStyle/>
        <a:p>
          <a:pPr algn="ctr"/>
          <a:r>
            <a:rPr lang="pt-BR" sz="1300" b="0" spc="80">
              <a:solidFill>
                <a:srgbClr val="E6F3F2"/>
              </a:solidFill>
              <a:latin typeface="Segoe UI Light"/>
              <a:cs typeface="Segoe UI Light"/>
            </a:rPr>
            <a:t>INFORMES</a:t>
          </a:r>
        </a:p>
      </xdr:txBody>
    </xdr:sp>
    <xdr:clientData/>
  </xdr:twoCellAnchor>
  <xdr:twoCellAnchor editAs="absolute">
    <xdr:from>
      <xdr:col>0</xdr:col>
      <xdr:colOff>128016</xdr:colOff>
      <xdr:row>10</xdr:row>
      <xdr:rowOff>6095</xdr:rowOff>
    </xdr:from>
    <xdr:to>
      <xdr:col>0</xdr:col>
      <xdr:colOff>2053209</xdr:colOff>
      <xdr:row>11</xdr:row>
      <xdr:rowOff>105155</xdr:rowOff>
    </xdr:to>
    <xdr:sp macro="" textlink="">
      <xdr:nvSpPr>
        <xdr:cNvPr id="16" name="Menu NOTAS">
          <a:hlinkClick xmlns:r="http://schemas.openxmlformats.org/officeDocument/2006/relationships" r:id="rId4" tooltip="Ir para NOTAS"/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SpPr/>
      </xdr:nvSpPr>
      <xdr:spPr>
        <a:xfrm>
          <a:off x="128016" y="2825495"/>
          <a:ext cx="1925193" cy="365760"/>
        </a:xfrm>
        <a:prstGeom prst="roundRect">
          <a:avLst>
            <a:gd name="adj" fmla="val 50000"/>
          </a:avLst>
        </a:prstGeom>
        <a:noFill/>
        <a:ln w="12700">
          <a:solidFill>
            <a:srgbClr val="E6F3F2">
              <a:alpha val="45000"/>
            </a:srgbClr>
          </a:solidFill>
        </a:ln>
      </xdr:spPr>
      <xdr:txBody>
        <a:bodyPr wrap="square" lIns="45720" tIns="0" rIns="45720" bIns="0" rtlCol="0" anchor="ctr"/>
        <a:lstStyle/>
        <a:p>
          <a:pPr algn="ctr"/>
          <a:r>
            <a:rPr lang="pt-BR" sz="1300" b="0" spc="80">
              <a:solidFill>
                <a:srgbClr val="E6F3F2"/>
              </a:solidFill>
              <a:latin typeface="Segoe UI Light"/>
              <a:cs typeface="Segoe UI Light"/>
            </a:rPr>
            <a:t>NOTAS</a:t>
          </a:r>
        </a:p>
      </xdr:txBody>
    </xdr:sp>
    <xdr:clientData/>
  </xdr:twoCellAnchor>
  <xdr:twoCellAnchor editAs="absolute">
    <xdr:from>
      <xdr:col>0</xdr:col>
      <xdr:colOff>320040</xdr:colOff>
      <xdr:row>12</xdr:row>
      <xdr:rowOff>121920</xdr:rowOff>
    </xdr:from>
    <xdr:to>
      <xdr:col>0</xdr:col>
      <xdr:colOff>1861185</xdr:colOff>
      <xdr:row>12</xdr:row>
      <xdr:rowOff>121921</xdr:rowOff>
    </xdr:to>
    <xdr:cxnSp macro="">
      <xdr:nvCxnSpPr>
        <xdr:cNvPr id="17" name="Divisor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CxnSpPr/>
      </xdr:nvCxnSpPr>
      <xdr:spPr>
        <a:xfrm>
          <a:off x="320040" y="3474720"/>
          <a:ext cx="1541145" cy="0"/>
        </a:xfrm>
        <a:prstGeom prst="line">
          <a:avLst/>
        </a:prstGeom>
        <a:ln w="9525">
          <a:solidFill>
            <a:srgbClr val="E6F3F2">
              <a:alpha val="55000"/>
            </a:srgbClr>
          </a:solidFill>
        </a:ln>
      </xdr:spPr>
    </xdr:cxnSp>
    <xdr:clientData/>
  </xdr:twoCellAnchor>
  <xdr:twoCellAnchor editAs="absolute">
    <xdr:from>
      <xdr:col>0</xdr:col>
      <xdr:colOff>54864</xdr:colOff>
      <xdr:row>12</xdr:row>
      <xdr:rowOff>176784</xdr:rowOff>
    </xdr:from>
    <xdr:to>
      <xdr:col>0</xdr:col>
      <xdr:colOff>2126361</xdr:colOff>
      <xdr:row>13</xdr:row>
      <xdr:rowOff>111252</xdr:rowOff>
    </xdr:to>
    <xdr:sp macro="" textlink="">
      <xdr:nvSpPr>
        <xdr:cNvPr id="18" name="Assinatura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SpPr/>
      </xdr:nvSpPr>
      <xdr:spPr>
        <a:xfrm>
          <a:off x="54864" y="3529584"/>
          <a:ext cx="2071497" cy="201168"/>
        </a:xfrm>
        <a:prstGeom prst="rect">
          <a:avLst/>
        </a:prstGeom>
        <a:noFill/>
        <a:ln>
          <a:noFill/>
        </a:ln>
      </xdr:spPr>
      <xdr:txBody>
        <a:bodyPr wrap="square" lIns="45720" tIns="0" rIns="45720" bIns="0" rtlCol="0" anchor="ctr"/>
        <a:lstStyle/>
        <a:p>
          <a:pPr algn="ctr"/>
          <a:r>
            <a:rPr lang="pt-BR" sz="750" b="0" spc="0">
              <a:solidFill>
                <a:srgbClr val="E6F3F2">
                  <a:alpha val="85000"/>
                </a:srgbClr>
              </a:solidFill>
              <a:latin typeface="Segoe UI"/>
              <a:cs typeface="Segoe UI"/>
            </a:rPr>
            <a:t>SYSTEM BY PEDRO CHRISTO </a:t>
          </a:r>
          <a:r>
            <a:rPr lang="pt-BR" sz="800" b="0" spc="0">
              <a:solidFill>
                <a:srgbClr val="478C27"/>
              </a:solidFill>
              <a:latin typeface="Segoe UI Emoji"/>
              <a:cs typeface="Segoe UI Emoji"/>
            </a:rPr>
            <a:t>💚</a:t>
          </a:r>
        </a:p>
      </xdr:txBody>
    </xdr:sp>
    <xdr:clientData/>
  </xdr:twoCellAnchor>
  <xdr:twoCellAnchor editAs="absolute">
    <xdr:from>
      <xdr:col>0</xdr:col>
      <xdr:colOff>935164</xdr:colOff>
      <xdr:row>13</xdr:row>
      <xdr:rowOff>184404</xdr:rowOff>
    </xdr:from>
    <xdr:to>
      <xdr:col>0</xdr:col>
      <xdr:colOff>1246060</xdr:colOff>
      <xdr:row>14</xdr:row>
      <xdr:rowOff>228600</xdr:rowOff>
    </xdr:to>
    <xdr:pic>
      <xdr:nvPicPr>
        <xdr:cNvPr id="19" name="LinkedIn" descr="LinkedIn">
          <a:hlinkClick xmlns:r="http://schemas.openxmlformats.org/officeDocument/2006/relationships" r:id="rId5" tooltip="LinkedIn de Pedro Christo"/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935164" y="3803904"/>
          <a:ext cx="310896" cy="310896"/>
        </a:xfrm>
        <a:prstGeom prst="rect">
          <a:avLst/>
        </a:prstGeom>
      </xdr:spPr>
    </xdr:pic>
    <xdr:clientData/>
  </xdr:twoCellAnchor>
  <xdr:twoCellAnchor editAs="absolute">
    <xdr:from>
      <xdr:col>0</xdr:col>
      <xdr:colOff>54864</xdr:colOff>
      <xdr:row>14</xdr:row>
      <xdr:rowOff>265176</xdr:rowOff>
    </xdr:from>
    <xdr:to>
      <xdr:col>0</xdr:col>
      <xdr:colOff>2126361</xdr:colOff>
      <xdr:row>15</xdr:row>
      <xdr:rowOff>181356</xdr:rowOff>
    </xdr:to>
    <xdr:sp macro="" textlink="">
      <xdr:nvSpPr>
        <xdr:cNvPr id="20" name="Curso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SpPr/>
      </xdr:nvSpPr>
      <xdr:spPr>
        <a:xfrm>
          <a:off x="54864" y="4151376"/>
          <a:ext cx="2071497" cy="182880"/>
        </a:xfrm>
        <a:prstGeom prst="rect">
          <a:avLst/>
        </a:prstGeom>
        <a:noFill/>
        <a:ln>
          <a:noFill/>
        </a:ln>
      </xdr:spPr>
      <xdr:txBody>
        <a:bodyPr wrap="square" lIns="45720" tIns="0" rIns="45720" bIns="0" rtlCol="0" anchor="ctr"/>
        <a:lstStyle/>
        <a:p>
          <a:pPr algn="ctr"/>
          <a:r>
            <a:rPr lang="pt-BR" sz="700" b="0" spc="0">
              <a:solidFill>
                <a:srgbClr val="E6F3F2">
                  <a:alpha val="55000"/>
                </a:srgbClr>
              </a:solidFill>
              <a:latin typeface="Segoe UI"/>
              <a:cs typeface="Segoe UI"/>
            </a:rPr>
            <a:t>DIO · Santander · Excel com IA</a:t>
          </a:r>
        </a:p>
      </xdr:txBody>
    </xdr:sp>
    <xdr:clientData/>
  </xdr:twoCellAnchor>
  <xdr:twoCellAnchor editAs="absolute">
    <xdr:from>
      <xdr:col>3</xdr:col>
      <xdr:colOff>1655445</xdr:colOff>
      <xdr:row>20</xdr:row>
      <xdr:rowOff>73152</xdr:rowOff>
    </xdr:from>
    <xdr:to>
      <xdr:col>4</xdr:col>
      <xdr:colOff>0</xdr:colOff>
      <xdr:row>21</xdr:row>
      <xdr:rowOff>135636</xdr:rowOff>
    </xdr:to>
    <xdr:sp macro="" textlink="">
      <xdr:nvSpPr>
        <xdr:cNvPr id="21" name="Proximo">
          <a:hlinkClick xmlns:r="http://schemas.openxmlformats.org/officeDocument/2006/relationships" r:id="rId3" tooltip="Ir para INFORMES"/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SpPr/>
      </xdr:nvSpPr>
      <xdr:spPr>
        <a:xfrm>
          <a:off x="7265670" y="5559552"/>
          <a:ext cx="1325880" cy="329184"/>
        </a:xfrm>
        <a:prstGeom prst="roundRect">
          <a:avLst>
            <a:gd name="adj" fmla="val 50000"/>
          </a:avLst>
        </a:prstGeom>
        <a:gradFill flip="none" rotWithShape="1">
          <a:gsLst>
            <a:gs pos="0">
              <a:srgbClr val="478C27"/>
            </a:gs>
            <a:gs pos="100000">
              <a:srgbClr val="31731F"/>
            </a:gs>
          </a:gsLst>
          <a:lin ang="0" scaled="1"/>
        </a:gradFill>
        <a:ln>
          <a:noFill/>
        </a:ln>
      </xdr:spPr>
      <xdr:txBody>
        <a:bodyPr wrap="square" lIns="45720" tIns="0" rIns="45720" bIns="0" rtlCol="0" anchor="ctr"/>
        <a:lstStyle/>
        <a:p>
          <a:pPr algn="ctr"/>
          <a:r>
            <a:rPr lang="pt-BR" sz="1000" b="1" spc="0">
              <a:solidFill>
                <a:srgbClr val="FFFFFF"/>
              </a:solidFill>
              <a:latin typeface="Segoe UI Semibold"/>
              <a:cs typeface="Segoe UI Semibold"/>
            </a:rPr>
            <a:t>PRÓXIMO  →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54864</xdr:colOff>
      <xdr:row>0</xdr:row>
      <xdr:rowOff>128016</xdr:rowOff>
    </xdr:from>
    <xdr:to>
      <xdr:col>0</xdr:col>
      <xdr:colOff>2126361</xdr:colOff>
      <xdr:row>1</xdr:row>
      <xdr:rowOff>190500</xdr:rowOff>
    </xdr:to>
    <xdr:sp macro="" textlink="">
      <xdr:nvSpPr>
        <xdr:cNvPr id="22" name="Marca">
          <a:extLst>
            <a:ext uri="{FF2B5EF4-FFF2-40B4-BE49-F238E27FC236}">
              <a16:creationId xmlns:a16="http://schemas.microsoft.com/office/drawing/2014/main" id="{00000000-0008-0000-0100-000016000000}"/>
            </a:ext>
          </a:extLst>
        </xdr:cNvPr>
        <xdr:cNvSpPr/>
      </xdr:nvSpPr>
      <xdr:spPr>
        <a:xfrm>
          <a:off x="54864" y="128016"/>
          <a:ext cx="2071497" cy="329184"/>
        </a:xfrm>
        <a:prstGeom prst="rect">
          <a:avLst/>
        </a:prstGeom>
        <a:noFill/>
        <a:ln>
          <a:noFill/>
        </a:ln>
      </xdr:spPr>
      <xdr:txBody>
        <a:bodyPr wrap="square" lIns="45720" tIns="0" rIns="45720" bIns="0" rtlCol="0" anchor="ctr"/>
        <a:lstStyle/>
        <a:p>
          <a:pPr algn="ctr"/>
          <a:r>
            <a:rPr lang="pt-BR" sz="1800" b="1" spc="0">
              <a:solidFill>
                <a:srgbClr val="E6F3F2"/>
              </a:solidFill>
              <a:latin typeface="Arial Black"/>
              <a:cs typeface="Arial Black"/>
            </a:rPr>
            <a:t>DECLARE </a:t>
          </a:r>
          <a:r>
            <a:rPr lang="pt-BR" sz="1800" b="1" spc="0">
              <a:solidFill>
                <a:srgbClr val="8CC56A"/>
              </a:solidFill>
              <a:latin typeface="Arial Black"/>
              <a:cs typeface="Arial Black"/>
            </a:rPr>
            <a:t>FÁCIL</a:t>
          </a:r>
        </a:p>
      </xdr:txBody>
    </xdr:sp>
    <xdr:clientData/>
  </xdr:twoCellAnchor>
  <xdr:twoCellAnchor editAs="absolute">
    <xdr:from>
      <xdr:col>0</xdr:col>
      <xdr:colOff>54864</xdr:colOff>
      <xdr:row>1</xdr:row>
      <xdr:rowOff>190500</xdr:rowOff>
    </xdr:from>
    <xdr:to>
      <xdr:col>0</xdr:col>
      <xdr:colOff>2126361</xdr:colOff>
      <xdr:row>2</xdr:row>
      <xdr:rowOff>106680</xdr:rowOff>
    </xdr:to>
    <xdr:sp macro="" textlink="">
      <xdr:nvSpPr>
        <xdr:cNvPr id="23" name="Slogan">
          <a:extLst>
            <a:ext uri="{FF2B5EF4-FFF2-40B4-BE49-F238E27FC236}">
              <a16:creationId xmlns:a16="http://schemas.microsoft.com/office/drawing/2014/main" id="{00000000-0008-0000-0100-000017000000}"/>
            </a:ext>
          </a:extLst>
        </xdr:cNvPr>
        <xdr:cNvSpPr/>
      </xdr:nvSpPr>
      <xdr:spPr>
        <a:xfrm>
          <a:off x="54864" y="457200"/>
          <a:ext cx="2071497" cy="182880"/>
        </a:xfrm>
        <a:prstGeom prst="rect">
          <a:avLst/>
        </a:prstGeom>
        <a:noFill/>
        <a:ln>
          <a:noFill/>
        </a:ln>
      </xdr:spPr>
      <xdr:txBody>
        <a:bodyPr wrap="square" lIns="45720" tIns="0" rIns="45720" bIns="0" rtlCol="0" anchor="ctr"/>
        <a:lstStyle/>
        <a:p>
          <a:pPr algn="ctr"/>
          <a:r>
            <a:rPr lang="pt-BR" sz="850" b="0" spc="0">
              <a:solidFill>
                <a:srgbClr val="E6F3F2">
                  <a:alpha val="75000"/>
                </a:srgbClr>
              </a:solidFill>
              <a:latin typeface="Segoe UI"/>
              <a:cs typeface="Segoe UI"/>
            </a:rPr>
            <a:t>seu IR sem complicação</a:t>
          </a:r>
        </a:p>
      </xdr:txBody>
    </xdr:sp>
    <xdr:clientData/>
  </xdr:twoCellAnchor>
  <xdr:twoCellAnchor editAs="absolute">
    <xdr:from>
      <xdr:col>0</xdr:col>
      <xdr:colOff>633412</xdr:colOff>
      <xdr:row>2</xdr:row>
      <xdr:rowOff>216408</xdr:rowOff>
    </xdr:from>
    <xdr:to>
      <xdr:col>0</xdr:col>
      <xdr:colOff>1547812</xdr:colOff>
      <xdr:row>5</xdr:row>
      <xdr:rowOff>178308</xdr:rowOff>
    </xdr:to>
    <xdr:pic>
      <xdr:nvPicPr>
        <xdr:cNvPr id="24" name="Logo Declare Fácil" descr="Logo Declare Fácil">
          <a:extLst>
            <a:ext uri="{FF2B5EF4-FFF2-40B4-BE49-F238E27FC236}">
              <a16:creationId xmlns:a16="http://schemas.microsoft.com/office/drawing/2014/main" id="{00000000-0008-0000-0100-00001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33412" y="749808"/>
          <a:ext cx="914400" cy="914400"/>
        </a:xfrm>
        <a:prstGeom prst="rect">
          <a:avLst/>
        </a:prstGeom>
      </xdr:spPr>
    </xdr:pic>
    <xdr:clientData/>
  </xdr:twoCellAnchor>
  <xdr:twoCellAnchor editAs="absolute">
    <xdr:from>
      <xdr:col>0</xdr:col>
      <xdr:colOff>128016</xdr:colOff>
      <xdr:row>6</xdr:row>
      <xdr:rowOff>121919</xdr:rowOff>
    </xdr:from>
    <xdr:to>
      <xdr:col>0</xdr:col>
      <xdr:colOff>2053209</xdr:colOff>
      <xdr:row>7</xdr:row>
      <xdr:rowOff>132079</xdr:rowOff>
    </xdr:to>
    <xdr:sp macro="" textlink="">
      <xdr:nvSpPr>
        <xdr:cNvPr id="25" name="Menu TITULAR">
          <a:hlinkClick xmlns:r="http://schemas.openxmlformats.org/officeDocument/2006/relationships" r:id="rId2" tooltip="Ir para TITULAR"/>
          <a:extLst>
            <a:ext uri="{FF2B5EF4-FFF2-40B4-BE49-F238E27FC236}">
              <a16:creationId xmlns:a16="http://schemas.microsoft.com/office/drawing/2014/main" id="{00000000-0008-0000-0100-000019000000}"/>
            </a:ext>
          </a:extLst>
        </xdr:cNvPr>
        <xdr:cNvSpPr/>
      </xdr:nvSpPr>
      <xdr:spPr>
        <a:xfrm>
          <a:off x="128016" y="1874519"/>
          <a:ext cx="1925193" cy="365760"/>
        </a:xfrm>
        <a:prstGeom prst="roundRect">
          <a:avLst>
            <a:gd name="adj" fmla="val 50000"/>
          </a:avLst>
        </a:prstGeom>
        <a:noFill/>
        <a:ln w="12700">
          <a:solidFill>
            <a:srgbClr val="E6F3F2">
              <a:alpha val="45000"/>
            </a:srgbClr>
          </a:solidFill>
        </a:ln>
      </xdr:spPr>
      <xdr:txBody>
        <a:bodyPr wrap="square" lIns="45720" tIns="0" rIns="45720" bIns="0" rtlCol="0" anchor="ctr"/>
        <a:lstStyle/>
        <a:p>
          <a:pPr algn="ctr"/>
          <a:r>
            <a:rPr lang="pt-BR" sz="1300" b="0" spc="80">
              <a:solidFill>
                <a:srgbClr val="E6F3F2"/>
              </a:solidFill>
              <a:latin typeface="Segoe UI Light"/>
              <a:cs typeface="Segoe UI Light"/>
            </a:rPr>
            <a:t>TITULAR</a:t>
          </a:r>
        </a:p>
      </xdr:txBody>
    </xdr:sp>
    <xdr:clientData/>
  </xdr:twoCellAnchor>
  <xdr:twoCellAnchor editAs="absolute">
    <xdr:from>
      <xdr:col>0</xdr:col>
      <xdr:colOff>128016</xdr:colOff>
      <xdr:row>7</xdr:row>
      <xdr:rowOff>241807</xdr:rowOff>
    </xdr:from>
    <xdr:to>
      <xdr:col>0</xdr:col>
      <xdr:colOff>2053209</xdr:colOff>
      <xdr:row>9</xdr:row>
      <xdr:rowOff>74167</xdr:rowOff>
    </xdr:to>
    <xdr:sp macro="" textlink="">
      <xdr:nvSpPr>
        <xdr:cNvPr id="26" name="Menu INFORMES">
          <a:hlinkClick xmlns:r="http://schemas.openxmlformats.org/officeDocument/2006/relationships" r:id="rId3" tooltip="Ir para INFORMES"/>
          <a:extLst>
            <a:ext uri="{FF2B5EF4-FFF2-40B4-BE49-F238E27FC236}">
              <a16:creationId xmlns:a16="http://schemas.microsoft.com/office/drawing/2014/main" id="{00000000-0008-0000-0100-00001A000000}"/>
            </a:ext>
          </a:extLst>
        </xdr:cNvPr>
        <xdr:cNvSpPr/>
      </xdr:nvSpPr>
      <xdr:spPr>
        <a:xfrm>
          <a:off x="128016" y="2350007"/>
          <a:ext cx="1925193" cy="365760"/>
        </a:xfrm>
        <a:prstGeom prst="roundRect">
          <a:avLst>
            <a:gd name="adj" fmla="val 50000"/>
          </a:avLst>
        </a:prstGeom>
        <a:gradFill flip="none" rotWithShape="1">
          <a:gsLst>
            <a:gs pos="0">
              <a:srgbClr val="478C27"/>
            </a:gs>
            <a:gs pos="100000">
              <a:srgbClr val="31731F"/>
            </a:gs>
          </a:gsLst>
          <a:lin ang="0" scaled="1"/>
        </a:gradFill>
        <a:ln>
          <a:noFill/>
        </a:ln>
      </xdr:spPr>
      <xdr:txBody>
        <a:bodyPr wrap="square" lIns="45720" tIns="0" rIns="45720" bIns="0" rtlCol="0" anchor="ctr"/>
        <a:lstStyle/>
        <a:p>
          <a:pPr algn="ctr"/>
          <a:r>
            <a:rPr lang="pt-BR" sz="1300" b="1" spc="80">
              <a:solidFill>
                <a:srgbClr val="FFFFFF"/>
              </a:solidFill>
              <a:latin typeface="Segoe UI Semibold"/>
              <a:cs typeface="Segoe UI Semibold"/>
            </a:rPr>
            <a:t>● INFORMES</a:t>
          </a:r>
        </a:p>
      </xdr:txBody>
    </xdr:sp>
    <xdr:clientData/>
  </xdr:twoCellAnchor>
  <xdr:twoCellAnchor editAs="absolute">
    <xdr:from>
      <xdr:col>0</xdr:col>
      <xdr:colOff>128016</xdr:colOff>
      <xdr:row>9</xdr:row>
      <xdr:rowOff>183895</xdr:rowOff>
    </xdr:from>
    <xdr:to>
      <xdr:col>0</xdr:col>
      <xdr:colOff>2053209</xdr:colOff>
      <xdr:row>11</xdr:row>
      <xdr:rowOff>16255</xdr:rowOff>
    </xdr:to>
    <xdr:sp macro="" textlink="">
      <xdr:nvSpPr>
        <xdr:cNvPr id="27" name="Menu NOTAS">
          <a:hlinkClick xmlns:r="http://schemas.openxmlformats.org/officeDocument/2006/relationships" r:id="rId4" tooltip="Ir para NOTAS"/>
          <a:extLst>
            <a:ext uri="{FF2B5EF4-FFF2-40B4-BE49-F238E27FC236}">
              <a16:creationId xmlns:a16="http://schemas.microsoft.com/office/drawing/2014/main" id="{00000000-0008-0000-0100-00001B000000}"/>
            </a:ext>
          </a:extLst>
        </xdr:cNvPr>
        <xdr:cNvSpPr/>
      </xdr:nvSpPr>
      <xdr:spPr>
        <a:xfrm>
          <a:off x="128016" y="2825495"/>
          <a:ext cx="1925193" cy="365760"/>
        </a:xfrm>
        <a:prstGeom prst="roundRect">
          <a:avLst>
            <a:gd name="adj" fmla="val 50000"/>
          </a:avLst>
        </a:prstGeom>
        <a:noFill/>
        <a:ln w="12700">
          <a:solidFill>
            <a:srgbClr val="E6F3F2">
              <a:alpha val="45000"/>
            </a:srgbClr>
          </a:solidFill>
        </a:ln>
      </xdr:spPr>
      <xdr:txBody>
        <a:bodyPr wrap="square" lIns="45720" tIns="0" rIns="45720" bIns="0" rtlCol="0" anchor="ctr"/>
        <a:lstStyle/>
        <a:p>
          <a:pPr algn="ctr"/>
          <a:r>
            <a:rPr lang="pt-BR" sz="1300" b="0" spc="80">
              <a:solidFill>
                <a:srgbClr val="E6F3F2"/>
              </a:solidFill>
              <a:latin typeface="Segoe UI Light"/>
              <a:cs typeface="Segoe UI Light"/>
            </a:rPr>
            <a:t>NOTAS</a:t>
          </a:r>
        </a:p>
      </xdr:txBody>
    </xdr:sp>
    <xdr:clientData/>
  </xdr:twoCellAnchor>
  <xdr:twoCellAnchor editAs="absolute">
    <xdr:from>
      <xdr:col>0</xdr:col>
      <xdr:colOff>320040</xdr:colOff>
      <xdr:row>12</xdr:row>
      <xdr:rowOff>33020</xdr:rowOff>
    </xdr:from>
    <xdr:to>
      <xdr:col>0</xdr:col>
      <xdr:colOff>1861185</xdr:colOff>
      <xdr:row>12</xdr:row>
      <xdr:rowOff>33021</xdr:rowOff>
    </xdr:to>
    <xdr:cxnSp macro="">
      <xdr:nvCxnSpPr>
        <xdr:cNvPr id="28" name="Divisor">
          <a:extLst>
            <a:ext uri="{FF2B5EF4-FFF2-40B4-BE49-F238E27FC236}">
              <a16:creationId xmlns:a16="http://schemas.microsoft.com/office/drawing/2014/main" id="{00000000-0008-0000-0100-00001C000000}"/>
            </a:ext>
          </a:extLst>
        </xdr:cNvPr>
        <xdr:cNvCxnSpPr/>
      </xdr:nvCxnSpPr>
      <xdr:spPr>
        <a:xfrm>
          <a:off x="320040" y="3474720"/>
          <a:ext cx="1541145" cy="0"/>
        </a:xfrm>
        <a:prstGeom prst="line">
          <a:avLst/>
        </a:prstGeom>
        <a:ln w="9525">
          <a:solidFill>
            <a:srgbClr val="E6F3F2">
              <a:alpha val="55000"/>
            </a:srgbClr>
          </a:solidFill>
        </a:ln>
      </xdr:spPr>
    </xdr:cxnSp>
    <xdr:clientData/>
  </xdr:twoCellAnchor>
  <xdr:twoCellAnchor editAs="absolute">
    <xdr:from>
      <xdr:col>0</xdr:col>
      <xdr:colOff>54864</xdr:colOff>
      <xdr:row>12</xdr:row>
      <xdr:rowOff>87884</xdr:rowOff>
    </xdr:from>
    <xdr:to>
      <xdr:col>0</xdr:col>
      <xdr:colOff>2126361</xdr:colOff>
      <xdr:row>13</xdr:row>
      <xdr:rowOff>22352</xdr:rowOff>
    </xdr:to>
    <xdr:sp macro="" textlink="">
      <xdr:nvSpPr>
        <xdr:cNvPr id="29" name="Assinatura">
          <a:extLst>
            <a:ext uri="{FF2B5EF4-FFF2-40B4-BE49-F238E27FC236}">
              <a16:creationId xmlns:a16="http://schemas.microsoft.com/office/drawing/2014/main" id="{00000000-0008-0000-0100-00001D000000}"/>
            </a:ext>
          </a:extLst>
        </xdr:cNvPr>
        <xdr:cNvSpPr/>
      </xdr:nvSpPr>
      <xdr:spPr>
        <a:xfrm>
          <a:off x="54864" y="3529584"/>
          <a:ext cx="2071497" cy="201168"/>
        </a:xfrm>
        <a:prstGeom prst="rect">
          <a:avLst/>
        </a:prstGeom>
        <a:noFill/>
        <a:ln>
          <a:noFill/>
        </a:ln>
      </xdr:spPr>
      <xdr:txBody>
        <a:bodyPr wrap="square" lIns="45720" tIns="0" rIns="45720" bIns="0" rtlCol="0" anchor="ctr"/>
        <a:lstStyle/>
        <a:p>
          <a:pPr algn="ctr"/>
          <a:r>
            <a:rPr lang="pt-BR" sz="750" b="0" spc="0">
              <a:solidFill>
                <a:srgbClr val="E6F3F2">
                  <a:alpha val="85000"/>
                </a:srgbClr>
              </a:solidFill>
              <a:latin typeface="Segoe UI"/>
              <a:cs typeface="Segoe UI"/>
            </a:rPr>
            <a:t>SYSTEM BY PEDRO CHRISTO </a:t>
          </a:r>
          <a:r>
            <a:rPr lang="pt-BR" sz="800" b="0" spc="0">
              <a:solidFill>
                <a:srgbClr val="478C27"/>
              </a:solidFill>
              <a:latin typeface="Segoe UI Emoji"/>
              <a:cs typeface="Segoe UI Emoji"/>
            </a:rPr>
            <a:t>💚</a:t>
          </a:r>
        </a:p>
      </xdr:txBody>
    </xdr:sp>
    <xdr:clientData/>
  </xdr:twoCellAnchor>
  <xdr:twoCellAnchor editAs="absolute">
    <xdr:from>
      <xdr:col>0</xdr:col>
      <xdr:colOff>935164</xdr:colOff>
      <xdr:row>13</xdr:row>
      <xdr:rowOff>95504</xdr:rowOff>
    </xdr:from>
    <xdr:to>
      <xdr:col>0</xdr:col>
      <xdr:colOff>1246060</xdr:colOff>
      <xdr:row>14</xdr:row>
      <xdr:rowOff>139700</xdr:rowOff>
    </xdr:to>
    <xdr:pic>
      <xdr:nvPicPr>
        <xdr:cNvPr id="30" name="LinkedIn" descr="LinkedIn">
          <a:hlinkClick xmlns:r="http://schemas.openxmlformats.org/officeDocument/2006/relationships" r:id="rId5" tooltip="LinkedIn de Pedro Christo"/>
          <a:extLst>
            <a:ext uri="{FF2B5EF4-FFF2-40B4-BE49-F238E27FC236}">
              <a16:creationId xmlns:a16="http://schemas.microsoft.com/office/drawing/2014/main" id="{00000000-0008-0000-0100-00001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935164" y="3803904"/>
          <a:ext cx="310896" cy="310896"/>
        </a:xfrm>
        <a:prstGeom prst="rect">
          <a:avLst/>
        </a:prstGeom>
      </xdr:spPr>
    </xdr:pic>
    <xdr:clientData/>
  </xdr:twoCellAnchor>
  <xdr:twoCellAnchor editAs="absolute">
    <xdr:from>
      <xdr:col>0</xdr:col>
      <xdr:colOff>54864</xdr:colOff>
      <xdr:row>14</xdr:row>
      <xdr:rowOff>176276</xdr:rowOff>
    </xdr:from>
    <xdr:to>
      <xdr:col>0</xdr:col>
      <xdr:colOff>2126361</xdr:colOff>
      <xdr:row>15</xdr:row>
      <xdr:rowOff>92456</xdr:rowOff>
    </xdr:to>
    <xdr:sp macro="" textlink="">
      <xdr:nvSpPr>
        <xdr:cNvPr id="31" name="Curso">
          <a:extLst>
            <a:ext uri="{FF2B5EF4-FFF2-40B4-BE49-F238E27FC236}">
              <a16:creationId xmlns:a16="http://schemas.microsoft.com/office/drawing/2014/main" id="{00000000-0008-0000-0100-00001F000000}"/>
            </a:ext>
          </a:extLst>
        </xdr:cNvPr>
        <xdr:cNvSpPr/>
      </xdr:nvSpPr>
      <xdr:spPr>
        <a:xfrm>
          <a:off x="54864" y="4151376"/>
          <a:ext cx="2071497" cy="182880"/>
        </a:xfrm>
        <a:prstGeom prst="rect">
          <a:avLst/>
        </a:prstGeom>
        <a:noFill/>
        <a:ln>
          <a:noFill/>
        </a:ln>
      </xdr:spPr>
      <xdr:txBody>
        <a:bodyPr wrap="square" lIns="45720" tIns="0" rIns="45720" bIns="0" rtlCol="0" anchor="ctr"/>
        <a:lstStyle/>
        <a:p>
          <a:pPr algn="ctr"/>
          <a:r>
            <a:rPr lang="pt-BR" sz="700" b="0" spc="0">
              <a:solidFill>
                <a:srgbClr val="E6F3F2">
                  <a:alpha val="55000"/>
                </a:srgbClr>
              </a:solidFill>
              <a:latin typeface="Segoe UI"/>
              <a:cs typeface="Segoe UI"/>
            </a:rPr>
            <a:t>DIO · Santander · Excel com IA</a:t>
          </a:r>
        </a:p>
      </xdr:txBody>
    </xdr:sp>
    <xdr:clientData/>
  </xdr:twoCellAnchor>
  <xdr:twoCellAnchor editAs="absolute">
    <xdr:from>
      <xdr:col>2</xdr:col>
      <xdr:colOff>0</xdr:colOff>
      <xdr:row>23</xdr:row>
      <xdr:rowOff>73152</xdr:rowOff>
    </xdr:from>
    <xdr:to>
      <xdr:col>2</xdr:col>
      <xdr:colOff>1325880</xdr:colOff>
      <xdr:row>24</xdr:row>
      <xdr:rowOff>135636</xdr:rowOff>
    </xdr:to>
    <xdr:sp macro="" textlink="">
      <xdr:nvSpPr>
        <xdr:cNvPr id="32" name="Anterior">
          <a:hlinkClick xmlns:r="http://schemas.openxmlformats.org/officeDocument/2006/relationships" r:id="rId2" tooltip="Voltar para TITULAR"/>
          <a:extLst>
            <a:ext uri="{FF2B5EF4-FFF2-40B4-BE49-F238E27FC236}">
              <a16:creationId xmlns:a16="http://schemas.microsoft.com/office/drawing/2014/main" id="{00000000-0008-0000-0100-000020000000}"/>
            </a:ext>
          </a:extLst>
        </xdr:cNvPr>
        <xdr:cNvSpPr/>
      </xdr:nvSpPr>
      <xdr:spPr>
        <a:xfrm>
          <a:off x="2495550" y="6448552"/>
          <a:ext cx="1325880" cy="329184"/>
        </a:xfrm>
        <a:prstGeom prst="roundRect">
          <a:avLst>
            <a:gd name="adj" fmla="val 50000"/>
          </a:avLst>
        </a:prstGeom>
        <a:solidFill>
          <a:srgbClr val="E6F3F2"/>
        </a:solidFill>
        <a:ln w="12700">
          <a:solidFill>
            <a:srgbClr val="478C27"/>
          </a:solidFill>
        </a:ln>
      </xdr:spPr>
      <xdr:txBody>
        <a:bodyPr wrap="square" lIns="45720" tIns="0" rIns="45720" bIns="0" rtlCol="0" anchor="ctr"/>
        <a:lstStyle/>
        <a:p>
          <a:pPr algn="ctr"/>
          <a:r>
            <a:rPr lang="pt-BR" sz="1000" b="1" spc="0">
              <a:solidFill>
                <a:srgbClr val="005741"/>
              </a:solidFill>
              <a:latin typeface="Segoe UI Semibold"/>
              <a:cs typeface="Segoe UI Semibold"/>
            </a:rPr>
            <a:t>←  ANTERIOR</a:t>
          </a:r>
        </a:p>
      </xdr:txBody>
    </xdr:sp>
    <xdr:clientData/>
  </xdr:twoCellAnchor>
  <xdr:twoCellAnchor editAs="absolute">
    <xdr:from>
      <xdr:col>3</xdr:col>
      <xdr:colOff>1655445</xdr:colOff>
      <xdr:row>23</xdr:row>
      <xdr:rowOff>73152</xdr:rowOff>
    </xdr:from>
    <xdr:to>
      <xdr:col>4</xdr:col>
      <xdr:colOff>0</xdr:colOff>
      <xdr:row>24</xdr:row>
      <xdr:rowOff>135636</xdr:rowOff>
    </xdr:to>
    <xdr:sp macro="" textlink="">
      <xdr:nvSpPr>
        <xdr:cNvPr id="33" name="Proximo">
          <a:hlinkClick xmlns:r="http://schemas.openxmlformats.org/officeDocument/2006/relationships" r:id="rId4" tooltip="Ir para NOTAS"/>
          <a:extLst>
            <a:ext uri="{FF2B5EF4-FFF2-40B4-BE49-F238E27FC236}">
              <a16:creationId xmlns:a16="http://schemas.microsoft.com/office/drawing/2014/main" id="{00000000-0008-0000-0100-000021000000}"/>
            </a:ext>
          </a:extLst>
        </xdr:cNvPr>
        <xdr:cNvSpPr/>
      </xdr:nvSpPr>
      <xdr:spPr>
        <a:xfrm>
          <a:off x="7265670" y="6448552"/>
          <a:ext cx="1325880" cy="329184"/>
        </a:xfrm>
        <a:prstGeom prst="roundRect">
          <a:avLst>
            <a:gd name="adj" fmla="val 50000"/>
          </a:avLst>
        </a:prstGeom>
        <a:gradFill flip="none" rotWithShape="1">
          <a:gsLst>
            <a:gs pos="0">
              <a:srgbClr val="478C27"/>
            </a:gs>
            <a:gs pos="100000">
              <a:srgbClr val="31731F"/>
            </a:gs>
          </a:gsLst>
          <a:lin ang="0" scaled="1"/>
        </a:gradFill>
        <a:ln>
          <a:noFill/>
        </a:ln>
      </xdr:spPr>
      <xdr:txBody>
        <a:bodyPr wrap="square" lIns="45720" tIns="0" rIns="45720" bIns="0" rtlCol="0" anchor="ctr"/>
        <a:lstStyle/>
        <a:p>
          <a:pPr algn="ctr"/>
          <a:r>
            <a:rPr lang="pt-BR" sz="1000" b="1" spc="0">
              <a:solidFill>
                <a:srgbClr val="FFFFFF"/>
              </a:solidFill>
              <a:latin typeface="Segoe UI Semibold"/>
              <a:cs typeface="Segoe UI Semibold"/>
            </a:rPr>
            <a:t>PRÓXIMO  →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54864</xdr:colOff>
      <xdr:row>0</xdr:row>
      <xdr:rowOff>128016</xdr:rowOff>
    </xdr:from>
    <xdr:to>
      <xdr:col>0</xdr:col>
      <xdr:colOff>2126361</xdr:colOff>
      <xdr:row>1</xdr:row>
      <xdr:rowOff>190500</xdr:rowOff>
    </xdr:to>
    <xdr:sp macro="" textlink="">
      <xdr:nvSpPr>
        <xdr:cNvPr id="34" name="Marca">
          <a:extLst>
            <a:ext uri="{FF2B5EF4-FFF2-40B4-BE49-F238E27FC236}">
              <a16:creationId xmlns:a16="http://schemas.microsoft.com/office/drawing/2014/main" id="{00000000-0008-0000-0200-000022000000}"/>
            </a:ext>
          </a:extLst>
        </xdr:cNvPr>
        <xdr:cNvSpPr/>
      </xdr:nvSpPr>
      <xdr:spPr>
        <a:xfrm>
          <a:off x="54864" y="128016"/>
          <a:ext cx="2071497" cy="329184"/>
        </a:xfrm>
        <a:prstGeom prst="rect">
          <a:avLst/>
        </a:prstGeom>
        <a:noFill/>
        <a:ln>
          <a:noFill/>
        </a:ln>
      </xdr:spPr>
      <xdr:txBody>
        <a:bodyPr wrap="square" lIns="45720" tIns="0" rIns="45720" bIns="0" rtlCol="0" anchor="ctr"/>
        <a:lstStyle/>
        <a:p>
          <a:pPr algn="ctr"/>
          <a:r>
            <a:rPr lang="pt-BR" sz="1800" b="1" spc="0">
              <a:solidFill>
                <a:srgbClr val="E6F3F2"/>
              </a:solidFill>
              <a:latin typeface="Arial Black"/>
              <a:cs typeface="Arial Black"/>
            </a:rPr>
            <a:t>DECLARE </a:t>
          </a:r>
          <a:r>
            <a:rPr lang="pt-BR" sz="1800" b="1" spc="0">
              <a:solidFill>
                <a:srgbClr val="8CC56A"/>
              </a:solidFill>
              <a:latin typeface="Arial Black"/>
              <a:cs typeface="Arial Black"/>
            </a:rPr>
            <a:t>FÁCIL</a:t>
          </a:r>
        </a:p>
      </xdr:txBody>
    </xdr:sp>
    <xdr:clientData/>
  </xdr:twoCellAnchor>
  <xdr:twoCellAnchor editAs="absolute">
    <xdr:from>
      <xdr:col>0</xdr:col>
      <xdr:colOff>16764</xdr:colOff>
      <xdr:row>2</xdr:row>
      <xdr:rowOff>57150</xdr:rowOff>
    </xdr:from>
    <xdr:to>
      <xdr:col>0</xdr:col>
      <xdr:colOff>2088261</xdr:colOff>
      <xdr:row>2</xdr:row>
      <xdr:rowOff>240030</xdr:rowOff>
    </xdr:to>
    <xdr:sp macro="" textlink="">
      <xdr:nvSpPr>
        <xdr:cNvPr id="35" name="Slogan">
          <a:extLst>
            <a:ext uri="{FF2B5EF4-FFF2-40B4-BE49-F238E27FC236}">
              <a16:creationId xmlns:a16="http://schemas.microsoft.com/office/drawing/2014/main" id="{00000000-0008-0000-0200-000023000000}"/>
            </a:ext>
          </a:extLst>
        </xdr:cNvPr>
        <xdr:cNvSpPr/>
      </xdr:nvSpPr>
      <xdr:spPr>
        <a:xfrm>
          <a:off x="16764" y="590550"/>
          <a:ext cx="2071497" cy="182880"/>
        </a:xfrm>
        <a:prstGeom prst="rect">
          <a:avLst/>
        </a:prstGeom>
        <a:noFill/>
        <a:ln>
          <a:noFill/>
        </a:ln>
      </xdr:spPr>
      <xdr:txBody>
        <a:bodyPr wrap="square" lIns="45720" tIns="0" rIns="45720" bIns="0" rtlCol="0" anchor="ctr"/>
        <a:lstStyle/>
        <a:p>
          <a:pPr algn="ctr"/>
          <a:r>
            <a:rPr lang="pt-BR" sz="850" b="0" spc="0">
              <a:solidFill>
                <a:srgbClr val="E6F3F2">
                  <a:alpha val="75000"/>
                </a:srgbClr>
              </a:solidFill>
              <a:latin typeface="Segoe UI"/>
              <a:cs typeface="Segoe UI"/>
            </a:rPr>
            <a:t>seu IR sem complicação</a:t>
          </a:r>
        </a:p>
      </xdr:txBody>
    </xdr:sp>
    <xdr:clientData/>
  </xdr:twoCellAnchor>
  <xdr:twoCellAnchor editAs="absolute">
    <xdr:from>
      <xdr:col>0</xdr:col>
      <xdr:colOff>633412</xdr:colOff>
      <xdr:row>2</xdr:row>
      <xdr:rowOff>216408</xdr:rowOff>
    </xdr:from>
    <xdr:to>
      <xdr:col>0</xdr:col>
      <xdr:colOff>1547812</xdr:colOff>
      <xdr:row>5</xdr:row>
      <xdr:rowOff>178308</xdr:rowOff>
    </xdr:to>
    <xdr:pic>
      <xdr:nvPicPr>
        <xdr:cNvPr id="36" name="Logo Declare Fácil" descr="Logo Declare Fácil">
          <a:extLst>
            <a:ext uri="{FF2B5EF4-FFF2-40B4-BE49-F238E27FC236}">
              <a16:creationId xmlns:a16="http://schemas.microsoft.com/office/drawing/2014/main" id="{00000000-0008-0000-0200-00002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33412" y="749808"/>
          <a:ext cx="914400" cy="914400"/>
        </a:xfrm>
        <a:prstGeom prst="rect">
          <a:avLst/>
        </a:prstGeom>
      </xdr:spPr>
    </xdr:pic>
    <xdr:clientData/>
  </xdr:twoCellAnchor>
  <xdr:twoCellAnchor editAs="absolute">
    <xdr:from>
      <xdr:col>0</xdr:col>
      <xdr:colOff>128016</xdr:colOff>
      <xdr:row>6</xdr:row>
      <xdr:rowOff>121919</xdr:rowOff>
    </xdr:from>
    <xdr:to>
      <xdr:col>0</xdr:col>
      <xdr:colOff>2053209</xdr:colOff>
      <xdr:row>7</xdr:row>
      <xdr:rowOff>220979</xdr:rowOff>
    </xdr:to>
    <xdr:sp macro="" textlink="">
      <xdr:nvSpPr>
        <xdr:cNvPr id="37" name="Menu TITULAR">
          <a:hlinkClick xmlns:r="http://schemas.openxmlformats.org/officeDocument/2006/relationships" r:id="rId2" tooltip="Ir para TITULAR"/>
          <a:extLst>
            <a:ext uri="{FF2B5EF4-FFF2-40B4-BE49-F238E27FC236}">
              <a16:creationId xmlns:a16="http://schemas.microsoft.com/office/drawing/2014/main" id="{00000000-0008-0000-0200-000025000000}"/>
            </a:ext>
          </a:extLst>
        </xdr:cNvPr>
        <xdr:cNvSpPr/>
      </xdr:nvSpPr>
      <xdr:spPr>
        <a:xfrm>
          <a:off x="128016" y="1874519"/>
          <a:ext cx="1925193" cy="365760"/>
        </a:xfrm>
        <a:prstGeom prst="roundRect">
          <a:avLst>
            <a:gd name="adj" fmla="val 50000"/>
          </a:avLst>
        </a:prstGeom>
        <a:noFill/>
        <a:ln w="12700">
          <a:solidFill>
            <a:srgbClr val="E6F3F2">
              <a:alpha val="45000"/>
            </a:srgbClr>
          </a:solidFill>
        </a:ln>
      </xdr:spPr>
      <xdr:txBody>
        <a:bodyPr wrap="square" lIns="45720" tIns="0" rIns="45720" bIns="0" rtlCol="0" anchor="ctr"/>
        <a:lstStyle/>
        <a:p>
          <a:pPr algn="ctr"/>
          <a:r>
            <a:rPr lang="pt-BR" sz="1300" b="0" spc="80">
              <a:solidFill>
                <a:srgbClr val="E6F3F2"/>
              </a:solidFill>
              <a:latin typeface="Segoe UI Light"/>
              <a:cs typeface="Segoe UI Light"/>
            </a:rPr>
            <a:t>TITULAR</a:t>
          </a:r>
        </a:p>
      </xdr:txBody>
    </xdr:sp>
    <xdr:clientData/>
  </xdr:twoCellAnchor>
  <xdr:twoCellAnchor editAs="absolute">
    <xdr:from>
      <xdr:col>0</xdr:col>
      <xdr:colOff>128016</xdr:colOff>
      <xdr:row>8</xdr:row>
      <xdr:rowOff>64007</xdr:rowOff>
    </xdr:from>
    <xdr:to>
      <xdr:col>0</xdr:col>
      <xdr:colOff>2053209</xdr:colOff>
      <xdr:row>9</xdr:row>
      <xdr:rowOff>163067</xdr:rowOff>
    </xdr:to>
    <xdr:sp macro="" textlink="">
      <xdr:nvSpPr>
        <xdr:cNvPr id="38" name="Menu INFORMES">
          <a:hlinkClick xmlns:r="http://schemas.openxmlformats.org/officeDocument/2006/relationships" r:id="rId3" tooltip="Ir para INFORMES"/>
          <a:extLst>
            <a:ext uri="{FF2B5EF4-FFF2-40B4-BE49-F238E27FC236}">
              <a16:creationId xmlns:a16="http://schemas.microsoft.com/office/drawing/2014/main" id="{00000000-0008-0000-0200-000026000000}"/>
            </a:ext>
          </a:extLst>
        </xdr:cNvPr>
        <xdr:cNvSpPr/>
      </xdr:nvSpPr>
      <xdr:spPr>
        <a:xfrm>
          <a:off x="128016" y="2350007"/>
          <a:ext cx="1925193" cy="365760"/>
        </a:xfrm>
        <a:prstGeom prst="roundRect">
          <a:avLst>
            <a:gd name="adj" fmla="val 50000"/>
          </a:avLst>
        </a:prstGeom>
        <a:noFill/>
        <a:ln w="12700">
          <a:solidFill>
            <a:srgbClr val="E6F3F2">
              <a:alpha val="45000"/>
            </a:srgbClr>
          </a:solidFill>
        </a:ln>
      </xdr:spPr>
      <xdr:txBody>
        <a:bodyPr wrap="square" lIns="45720" tIns="0" rIns="45720" bIns="0" rtlCol="0" anchor="ctr"/>
        <a:lstStyle/>
        <a:p>
          <a:pPr algn="ctr"/>
          <a:r>
            <a:rPr lang="pt-BR" sz="1300" b="0" spc="80">
              <a:solidFill>
                <a:srgbClr val="E6F3F2"/>
              </a:solidFill>
              <a:latin typeface="Segoe UI Light"/>
              <a:cs typeface="Segoe UI Light"/>
            </a:rPr>
            <a:t>INFORMES</a:t>
          </a:r>
        </a:p>
      </xdr:txBody>
    </xdr:sp>
    <xdr:clientData/>
  </xdr:twoCellAnchor>
  <xdr:twoCellAnchor editAs="absolute">
    <xdr:from>
      <xdr:col>0</xdr:col>
      <xdr:colOff>128016</xdr:colOff>
      <xdr:row>10</xdr:row>
      <xdr:rowOff>6095</xdr:rowOff>
    </xdr:from>
    <xdr:to>
      <xdr:col>0</xdr:col>
      <xdr:colOff>2053209</xdr:colOff>
      <xdr:row>11</xdr:row>
      <xdr:rowOff>105155</xdr:rowOff>
    </xdr:to>
    <xdr:sp macro="" textlink="">
      <xdr:nvSpPr>
        <xdr:cNvPr id="39" name="Menu NOTAS">
          <a:hlinkClick xmlns:r="http://schemas.openxmlformats.org/officeDocument/2006/relationships" r:id="rId4" tooltip="Ir para NOTAS"/>
          <a:extLst>
            <a:ext uri="{FF2B5EF4-FFF2-40B4-BE49-F238E27FC236}">
              <a16:creationId xmlns:a16="http://schemas.microsoft.com/office/drawing/2014/main" id="{00000000-0008-0000-0200-000027000000}"/>
            </a:ext>
          </a:extLst>
        </xdr:cNvPr>
        <xdr:cNvSpPr/>
      </xdr:nvSpPr>
      <xdr:spPr>
        <a:xfrm>
          <a:off x="128016" y="2825495"/>
          <a:ext cx="1925193" cy="365760"/>
        </a:xfrm>
        <a:prstGeom prst="roundRect">
          <a:avLst>
            <a:gd name="adj" fmla="val 50000"/>
          </a:avLst>
        </a:prstGeom>
        <a:gradFill flip="none" rotWithShape="1">
          <a:gsLst>
            <a:gs pos="0">
              <a:srgbClr val="478C27"/>
            </a:gs>
            <a:gs pos="100000">
              <a:srgbClr val="31731F"/>
            </a:gs>
          </a:gsLst>
          <a:lin ang="0" scaled="1"/>
        </a:gradFill>
        <a:ln>
          <a:noFill/>
        </a:ln>
      </xdr:spPr>
      <xdr:txBody>
        <a:bodyPr wrap="square" lIns="45720" tIns="0" rIns="45720" bIns="0" rtlCol="0" anchor="ctr"/>
        <a:lstStyle/>
        <a:p>
          <a:pPr algn="ctr"/>
          <a:r>
            <a:rPr lang="pt-BR" sz="1300" b="1" spc="80">
              <a:solidFill>
                <a:srgbClr val="FFFFFF"/>
              </a:solidFill>
              <a:latin typeface="Segoe UI Semibold"/>
              <a:cs typeface="Segoe UI Semibold"/>
            </a:rPr>
            <a:t>● NOTAS</a:t>
          </a:r>
        </a:p>
      </xdr:txBody>
    </xdr:sp>
    <xdr:clientData/>
  </xdr:twoCellAnchor>
  <xdr:twoCellAnchor editAs="absolute">
    <xdr:from>
      <xdr:col>0</xdr:col>
      <xdr:colOff>320040</xdr:colOff>
      <xdr:row>12</xdr:row>
      <xdr:rowOff>121920</xdr:rowOff>
    </xdr:from>
    <xdr:to>
      <xdr:col>0</xdr:col>
      <xdr:colOff>1861185</xdr:colOff>
      <xdr:row>12</xdr:row>
      <xdr:rowOff>121921</xdr:rowOff>
    </xdr:to>
    <xdr:cxnSp macro="">
      <xdr:nvCxnSpPr>
        <xdr:cNvPr id="40" name="Divisor">
          <a:extLst>
            <a:ext uri="{FF2B5EF4-FFF2-40B4-BE49-F238E27FC236}">
              <a16:creationId xmlns:a16="http://schemas.microsoft.com/office/drawing/2014/main" id="{00000000-0008-0000-0200-000028000000}"/>
            </a:ext>
          </a:extLst>
        </xdr:cNvPr>
        <xdr:cNvCxnSpPr/>
      </xdr:nvCxnSpPr>
      <xdr:spPr>
        <a:xfrm>
          <a:off x="320040" y="3474720"/>
          <a:ext cx="1541145" cy="0"/>
        </a:xfrm>
        <a:prstGeom prst="line">
          <a:avLst/>
        </a:prstGeom>
        <a:ln w="9525">
          <a:solidFill>
            <a:srgbClr val="E6F3F2">
              <a:alpha val="55000"/>
            </a:srgbClr>
          </a:solidFill>
        </a:ln>
      </xdr:spPr>
    </xdr:cxnSp>
    <xdr:clientData/>
  </xdr:twoCellAnchor>
  <xdr:twoCellAnchor editAs="absolute">
    <xdr:from>
      <xdr:col>0</xdr:col>
      <xdr:colOff>54864</xdr:colOff>
      <xdr:row>12</xdr:row>
      <xdr:rowOff>176784</xdr:rowOff>
    </xdr:from>
    <xdr:to>
      <xdr:col>0</xdr:col>
      <xdr:colOff>2126361</xdr:colOff>
      <xdr:row>13</xdr:row>
      <xdr:rowOff>111252</xdr:rowOff>
    </xdr:to>
    <xdr:sp macro="" textlink="">
      <xdr:nvSpPr>
        <xdr:cNvPr id="41" name="Assinatura">
          <a:extLst>
            <a:ext uri="{FF2B5EF4-FFF2-40B4-BE49-F238E27FC236}">
              <a16:creationId xmlns:a16="http://schemas.microsoft.com/office/drawing/2014/main" id="{00000000-0008-0000-0200-000029000000}"/>
            </a:ext>
          </a:extLst>
        </xdr:cNvPr>
        <xdr:cNvSpPr/>
      </xdr:nvSpPr>
      <xdr:spPr>
        <a:xfrm>
          <a:off x="54864" y="3529584"/>
          <a:ext cx="2071497" cy="201168"/>
        </a:xfrm>
        <a:prstGeom prst="rect">
          <a:avLst/>
        </a:prstGeom>
        <a:noFill/>
        <a:ln>
          <a:noFill/>
        </a:ln>
      </xdr:spPr>
      <xdr:txBody>
        <a:bodyPr wrap="square" lIns="45720" tIns="0" rIns="45720" bIns="0" rtlCol="0" anchor="ctr"/>
        <a:lstStyle/>
        <a:p>
          <a:pPr algn="ctr"/>
          <a:r>
            <a:rPr lang="pt-BR" sz="750" b="0" spc="0">
              <a:solidFill>
                <a:srgbClr val="E6F3F2">
                  <a:alpha val="85000"/>
                </a:srgbClr>
              </a:solidFill>
              <a:latin typeface="Segoe UI"/>
              <a:cs typeface="Segoe UI"/>
            </a:rPr>
            <a:t>SYSTEM BY PEDRO CHRISTO </a:t>
          </a:r>
          <a:r>
            <a:rPr lang="pt-BR" sz="800" b="0" spc="0">
              <a:solidFill>
                <a:srgbClr val="478C27"/>
              </a:solidFill>
              <a:latin typeface="Segoe UI Emoji"/>
              <a:cs typeface="Segoe UI Emoji"/>
            </a:rPr>
            <a:t>💚</a:t>
          </a:r>
        </a:p>
      </xdr:txBody>
    </xdr:sp>
    <xdr:clientData/>
  </xdr:twoCellAnchor>
  <xdr:twoCellAnchor editAs="absolute">
    <xdr:from>
      <xdr:col>0</xdr:col>
      <xdr:colOff>935164</xdr:colOff>
      <xdr:row>13</xdr:row>
      <xdr:rowOff>184404</xdr:rowOff>
    </xdr:from>
    <xdr:to>
      <xdr:col>0</xdr:col>
      <xdr:colOff>1246060</xdr:colOff>
      <xdr:row>14</xdr:row>
      <xdr:rowOff>228600</xdr:rowOff>
    </xdr:to>
    <xdr:pic>
      <xdr:nvPicPr>
        <xdr:cNvPr id="42" name="LinkedIn" descr="LinkedIn">
          <a:hlinkClick xmlns:r="http://schemas.openxmlformats.org/officeDocument/2006/relationships" r:id="rId5" tooltip="LinkedIn de Pedro Christo"/>
          <a:extLst>
            <a:ext uri="{FF2B5EF4-FFF2-40B4-BE49-F238E27FC236}">
              <a16:creationId xmlns:a16="http://schemas.microsoft.com/office/drawing/2014/main" id="{00000000-0008-0000-0200-00002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935164" y="3803904"/>
          <a:ext cx="310896" cy="310896"/>
        </a:xfrm>
        <a:prstGeom prst="rect">
          <a:avLst/>
        </a:prstGeom>
      </xdr:spPr>
    </xdr:pic>
    <xdr:clientData/>
  </xdr:twoCellAnchor>
  <xdr:twoCellAnchor editAs="absolute">
    <xdr:from>
      <xdr:col>0</xdr:col>
      <xdr:colOff>54864</xdr:colOff>
      <xdr:row>14</xdr:row>
      <xdr:rowOff>265176</xdr:rowOff>
    </xdr:from>
    <xdr:to>
      <xdr:col>0</xdr:col>
      <xdr:colOff>2126361</xdr:colOff>
      <xdr:row>15</xdr:row>
      <xdr:rowOff>181356</xdr:rowOff>
    </xdr:to>
    <xdr:sp macro="" textlink="">
      <xdr:nvSpPr>
        <xdr:cNvPr id="43" name="Curso">
          <a:extLst>
            <a:ext uri="{FF2B5EF4-FFF2-40B4-BE49-F238E27FC236}">
              <a16:creationId xmlns:a16="http://schemas.microsoft.com/office/drawing/2014/main" id="{00000000-0008-0000-0200-00002B000000}"/>
            </a:ext>
          </a:extLst>
        </xdr:cNvPr>
        <xdr:cNvSpPr/>
      </xdr:nvSpPr>
      <xdr:spPr>
        <a:xfrm>
          <a:off x="54864" y="4151376"/>
          <a:ext cx="2071497" cy="182880"/>
        </a:xfrm>
        <a:prstGeom prst="rect">
          <a:avLst/>
        </a:prstGeom>
        <a:noFill/>
        <a:ln>
          <a:noFill/>
        </a:ln>
      </xdr:spPr>
      <xdr:txBody>
        <a:bodyPr wrap="square" lIns="45720" tIns="0" rIns="45720" bIns="0" rtlCol="0" anchor="ctr"/>
        <a:lstStyle/>
        <a:p>
          <a:pPr algn="ctr"/>
          <a:r>
            <a:rPr lang="pt-BR" sz="700" b="0" spc="0">
              <a:solidFill>
                <a:srgbClr val="E6F3F2">
                  <a:alpha val="55000"/>
                </a:srgbClr>
              </a:solidFill>
              <a:latin typeface="Segoe UI"/>
              <a:cs typeface="Segoe UI"/>
            </a:rPr>
            <a:t>DIO · Santander · Excel com IA</a:t>
          </a:r>
        </a:p>
      </xdr:txBody>
    </xdr:sp>
    <xdr:clientData/>
  </xdr:twoCellAnchor>
  <xdr:twoCellAnchor editAs="absolute">
    <xdr:from>
      <xdr:col>4</xdr:col>
      <xdr:colOff>137160</xdr:colOff>
      <xdr:row>4</xdr:row>
      <xdr:rowOff>0</xdr:rowOff>
    </xdr:from>
    <xdr:to>
      <xdr:col>4</xdr:col>
      <xdr:colOff>1463040</xdr:colOff>
      <xdr:row>5</xdr:row>
      <xdr:rowOff>62484</xdr:rowOff>
    </xdr:to>
    <xdr:sp macro="" textlink="">
      <xdr:nvSpPr>
        <xdr:cNvPr id="44" name="Anterior">
          <a:hlinkClick xmlns:r="http://schemas.openxmlformats.org/officeDocument/2006/relationships" r:id="rId3" tooltip="Voltar para INFORMES"/>
          <a:extLst>
            <a:ext uri="{FF2B5EF4-FFF2-40B4-BE49-F238E27FC236}">
              <a16:creationId xmlns:a16="http://schemas.microsoft.com/office/drawing/2014/main" id="{00000000-0008-0000-0200-00002C000000}"/>
            </a:ext>
          </a:extLst>
        </xdr:cNvPr>
        <xdr:cNvSpPr/>
      </xdr:nvSpPr>
      <xdr:spPr>
        <a:xfrm>
          <a:off x="8728710" y="1219200"/>
          <a:ext cx="1325880" cy="329184"/>
        </a:xfrm>
        <a:prstGeom prst="roundRect">
          <a:avLst>
            <a:gd name="adj" fmla="val 50000"/>
          </a:avLst>
        </a:prstGeom>
        <a:solidFill>
          <a:srgbClr val="E6F3F2"/>
        </a:solidFill>
        <a:ln w="12700">
          <a:solidFill>
            <a:srgbClr val="478C27"/>
          </a:solidFill>
        </a:ln>
      </xdr:spPr>
      <xdr:txBody>
        <a:bodyPr wrap="square" lIns="45720" tIns="0" rIns="45720" bIns="0" rtlCol="0" anchor="ctr"/>
        <a:lstStyle/>
        <a:p>
          <a:pPr algn="ctr"/>
          <a:r>
            <a:rPr lang="pt-BR" sz="1000" b="1" spc="0">
              <a:solidFill>
                <a:srgbClr val="005741"/>
              </a:solidFill>
              <a:latin typeface="Segoe UI Semibold"/>
              <a:cs typeface="Segoe UI Semibold"/>
            </a:rPr>
            <a:t>←  ANTERIOR</a:t>
          </a:r>
        </a:p>
      </xdr:txBody>
    </xdr: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Entradas" displayName="Entradas" ref="C8:E35">
  <autoFilter ref="C8:E35" xr:uid="{00000000-0009-0000-0100-000001000000}"/>
  <tableColumns count="3">
    <tableColumn id="3" xr3:uid="{00000000-0010-0000-0000-000003000000}" name="DATA"/>
    <tableColumn id="4" xr3:uid="{00000000-0010-0000-0000-000004000000}" name="CATEGORIA"/>
    <tableColumn id="5" xr3:uid="{00000000-0010-0000-0000-000005000000}" name="VALOR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Declare Facil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005741"/>
      </a:accent1>
      <a:accent2>
        <a:srgbClr val="478C27"/>
      </a:accent2>
      <a:accent3>
        <a:srgbClr val="31731F"/>
      </a:accent3>
      <a:accent4>
        <a:srgbClr val="025930"/>
      </a:accent4>
      <a:accent5>
        <a:srgbClr val="8CC56A"/>
      </a:accent5>
      <a:accent6>
        <a:srgbClr val="478C27"/>
      </a:accent6>
      <a:hlink>
        <a:srgbClr val="31731F"/>
      </a:hlink>
      <a:folHlink>
        <a:srgbClr val="005741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mailto:joao.exemplo@email.com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5741"/>
    <pageSetUpPr fitToPage="1"/>
  </sheetPr>
  <dimension ref="A1:E60"/>
  <sheetViews>
    <sheetView showGridLines="0" tabSelected="1" workbookViewId="0">
      <selection activeCell="C13" sqref="C13"/>
    </sheetView>
  </sheetViews>
  <sheetFormatPr defaultRowHeight="15" x14ac:dyDescent="0.25"/>
  <cols>
    <col min="1" max="1" width="32" style="1" customWidth="1"/>
    <col min="2" max="2" width="4" customWidth="1"/>
    <col min="3" max="3" width="46" customWidth="1"/>
    <col min="4" max="4" width="44" customWidth="1"/>
    <col min="5" max="5" width="26" customWidth="1"/>
  </cols>
  <sheetData>
    <row r="1" spans="3:5" ht="21" customHeight="1" x14ac:dyDescent="0.25"/>
    <row r="2" spans="3:5" ht="21" customHeight="1" x14ac:dyDescent="0.25"/>
    <row r="3" spans="3:5" ht="30" customHeight="1" x14ac:dyDescent="0.25">
      <c r="C3" s="2" t="s">
        <v>0</v>
      </c>
      <c r="D3" s="3"/>
      <c r="E3" s="3"/>
    </row>
    <row r="4" spans="3:5" ht="24" customHeight="1" x14ac:dyDescent="0.25">
      <c r="C4" s="26" t="s">
        <v>1</v>
      </c>
      <c r="D4" s="27"/>
      <c r="E4" s="27"/>
    </row>
    <row r="5" spans="3:5" ht="21" customHeight="1" x14ac:dyDescent="0.25"/>
    <row r="6" spans="3:5" ht="21" customHeight="1" x14ac:dyDescent="0.25">
      <c r="C6" s="4" t="s">
        <v>2</v>
      </c>
      <c r="D6" s="5" t="s">
        <v>3</v>
      </c>
      <c r="E6" s="6" t="s">
        <v>4</v>
      </c>
    </row>
    <row r="7" spans="3:5" ht="21" customHeight="1" x14ac:dyDescent="0.25">
      <c r="C7" s="4" t="s">
        <v>5</v>
      </c>
      <c r="D7" s="7">
        <v>52998224725</v>
      </c>
      <c r="E7" s="8" t="str">
        <f>IF(D7="","",IF(AND(MOD(MOD(SUMPRODUCT(--MID(TEXT(D7,"00000000000"),{1,2,3,4,5,6,7,8,9},1),{10,9,8,7,6,5,4,3,2})*10,11),10)=--MID(TEXT(D7,"00000000000"),10,1),MOD(MOD(SUMPRODUCT(--MID(TEXT(D7,"00000000000"),{1,2,3,4,5,6,7,8,9,10},1),{11,10,9,8,7,6,5,4,3,2})*10,11),10)=--MID(TEXT(D7,"00000000000"),11,1),TEXT(D7,"00000000000")&lt;&gt;REPT(LEFT(TEXT(D7,"00000000000"),1),11)),"✔ CPF válido","✖ CPF inválido"))</f>
        <v>✔ CPF válido</v>
      </c>
    </row>
    <row r="8" spans="3:5" ht="21" customHeight="1" x14ac:dyDescent="0.25">
      <c r="C8" s="4" t="s">
        <v>6</v>
      </c>
      <c r="D8" s="9">
        <v>34605</v>
      </c>
      <c r="E8" s="6" t="s">
        <v>7</v>
      </c>
    </row>
    <row r="9" spans="3:5" ht="21" customHeight="1" x14ac:dyDescent="0.25">
      <c r="C9" s="4" t="s">
        <v>8</v>
      </c>
      <c r="D9" s="10">
        <v>123456789012</v>
      </c>
      <c r="E9" s="6" t="s">
        <v>9</v>
      </c>
    </row>
    <row r="10" spans="3:5" ht="21" customHeight="1" x14ac:dyDescent="0.25">
      <c r="C10" s="4" t="s">
        <v>10</v>
      </c>
      <c r="D10" s="5" t="s">
        <v>11</v>
      </c>
      <c r="E10" s="6" t="s">
        <v>12</v>
      </c>
    </row>
    <row r="11" spans="3:5" ht="21" customHeight="1" x14ac:dyDescent="0.25">
      <c r="C11" s="4" t="s">
        <v>13</v>
      </c>
      <c r="D11" s="5" t="s">
        <v>14</v>
      </c>
      <c r="E11" s="6" t="s">
        <v>15</v>
      </c>
    </row>
    <row r="12" spans="3:5" ht="21" customHeight="1" x14ac:dyDescent="0.25">
      <c r="C12" s="4" t="s">
        <v>16</v>
      </c>
      <c r="D12" s="5" t="s">
        <v>17</v>
      </c>
      <c r="E12" s="6" t="s">
        <v>18</v>
      </c>
    </row>
    <row r="13" spans="3:5" ht="21" customHeight="1" x14ac:dyDescent="0.25">
      <c r="C13" s="4" t="s">
        <v>19</v>
      </c>
      <c r="D13" s="11">
        <v>1310100</v>
      </c>
      <c r="E13" s="6" t="s">
        <v>20</v>
      </c>
    </row>
    <row r="14" spans="3:5" ht="21" customHeight="1" x14ac:dyDescent="0.25">
      <c r="C14" s="4" t="s">
        <v>21</v>
      </c>
      <c r="D14" s="12">
        <v>1131713388</v>
      </c>
      <c r="E14" s="6" t="s">
        <v>22</v>
      </c>
    </row>
    <row r="15" spans="3:5" ht="21" customHeight="1" x14ac:dyDescent="0.25">
      <c r="C15" s="4" t="s">
        <v>23</v>
      </c>
      <c r="D15" s="13">
        <v>11931713388</v>
      </c>
      <c r="E15" s="6" t="s">
        <v>24</v>
      </c>
    </row>
    <row r="16" spans="3:5" ht="21" customHeight="1" x14ac:dyDescent="0.25">
      <c r="C16" s="4" t="s">
        <v>25</v>
      </c>
      <c r="D16" s="14" t="s">
        <v>26</v>
      </c>
      <c r="E16" s="15" t="str">
        <f>IF(D16="","",HYPERLINK("mailto:"&amp;D16&amp;"?subject=Declara%C3%A7%C3%A3o%20de%20IR","✉ enviar e-mail"))</f>
        <v>✉ enviar e-mail</v>
      </c>
    </row>
    <row r="17" spans="3:5" ht="21" customHeight="1" x14ac:dyDescent="0.25">
      <c r="C17" s="4" t="s">
        <v>27</v>
      </c>
      <c r="D17" s="5" t="s">
        <v>28</v>
      </c>
      <c r="E17" s="6" t="s">
        <v>29</v>
      </c>
    </row>
    <row r="18" spans="3:5" ht="21" customHeight="1" x14ac:dyDescent="0.25">
      <c r="C18" s="4" t="s">
        <v>30</v>
      </c>
      <c r="D18" s="5" t="s">
        <v>31</v>
      </c>
      <c r="E18" s="6" t="s">
        <v>29</v>
      </c>
    </row>
    <row r="19" spans="3:5" ht="21" customHeight="1" x14ac:dyDescent="0.25">
      <c r="C19" s="4" t="s">
        <v>32</v>
      </c>
      <c r="D19" s="5" t="s">
        <v>31</v>
      </c>
      <c r="E19" s="6" t="s">
        <v>29</v>
      </c>
    </row>
    <row r="20" spans="3:5" ht="21" customHeight="1" x14ac:dyDescent="0.25"/>
    <row r="21" spans="3:5" ht="21" customHeight="1" x14ac:dyDescent="0.25"/>
    <row r="22" spans="3:5" ht="21" customHeight="1" x14ac:dyDescent="0.25"/>
    <row r="23" spans="3:5" ht="21" customHeight="1" x14ac:dyDescent="0.25"/>
    <row r="24" spans="3:5" ht="21" customHeight="1" x14ac:dyDescent="0.25"/>
    <row r="25" spans="3:5" ht="21" customHeight="1" x14ac:dyDescent="0.25"/>
    <row r="26" spans="3:5" ht="21" customHeight="1" x14ac:dyDescent="0.25"/>
    <row r="27" spans="3:5" ht="21" customHeight="1" x14ac:dyDescent="0.25"/>
    <row r="28" spans="3:5" ht="21" customHeight="1" x14ac:dyDescent="0.25"/>
    <row r="29" spans="3:5" ht="21" customHeight="1" x14ac:dyDescent="0.25"/>
    <row r="30" spans="3:5" ht="21" customHeight="1" x14ac:dyDescent="0.25"/>
    <row r="31" spans="3:5" ht="21" customHeight="1" x14ac:dyDescent="0.25"/>
    <row r="32" spans="3:5" ht="21" customHeight="1" x14ac:dyDescent="0.25"/>
    <row r="33" ht="21" customHeight="1" x14ac:dyDescent="0.25"/>
    <row r="34" ht="21" customHeight="1" x14ac:dyDescent="0.25"/>
    <row r="35" ht="21" customHeight="1" x14ac:dyDescent="0.25"/>
    <row r="36" ht="21" customHeight="1" x14ac:dyDescent="0.25"/>
    <row r="37" ht="21" customHeight="1" x14ac:dyDescent="0.25"/>
    <row r="38" ht="21" customHeight="1" x14ac:dyDescent="0.25"/>
    <row r="39" ht="21" customHeight="1" x14ac:dyDescent="0.25"/>
    <row r="40" ht="21" customHeight="1" x14ac:dyDescent="0.25"/>
    <row r="41" ht="21" customHeight="1" x14ac:dyDescent="0.25"/>
    <row r="42" ht="21" customHeight="1" x14ac:dyDescent="0.25"/>
    <row r="43" ht="21" customHeight="1" x14ac:dyDescent="0.25"/>
    <row r="44" ht="21" customHeight="1" x14ac:dyDescent="0.25"/>
    <row r="45" ht="21" customHeight="1" x14ac:dyDescent="0.25"/>
    <row r="46" ht="21" customHeight="1" x14ac:dyDescent="0.25"/>
    <row r="47" ht="21" customHeight="1" x14ac:dyDescent="0.25"/>
    <row r="48" ht="21" customHeight="1" x14ac:dyDescent="0.25"/>
    <row r="49" ht="21" customHeight="1" x14ac:dyDescent="0.25"/>
    <row r="50" ht="21" customHeight="1" x14ac:dyDescent="0.25"/>
    <row r="51" ht="21" customHeight="1" x14ac:dyDescent="0.25"/>
    <row r="52" ht="21" customHeight="1" x14ac:dyDescent="0.25"/>
    <row r="53" ht="21" customHeight="1" x14ac:dyDescent="0.25"/>
    <row r="54" ht="21" customHeight="1" x14ac:dyDescent="0.25"/>
    <row r="55" ht="21" customHeight="1" x14ac:dyDescent="0.25"/>
    <row r="56" ht="21" customHeight="1" x14ac:dyDescent="0.25"/>
    <row r="57" ht="21" customHeight="1" x14ac:dyDescent="0.25"/>
    <row r="58" ht="21" customHeight="1" x14ac:dyDescent="0.25"/>
    <row r="59" ht="21" customHeight="1" x14ac:dyDescent="0.25"/>
    <row r="60" ht="21" customHeight="1" x14ac:dyDescent="0.25"/>
  </sheetData>
  <mergeCells count="1">
    <mergeCell ref="C4:E4"/>
  </mergeCells>
  <conditionalFormatting sqref="E7">
    <cfRule type="expression" dxfId="4" priority="1">
      <formula>LEFT($E$7,1)="✖"</formula>
    </cfRule>
    <cfRule type="expression" dxfId="3" priority="2">
      <formula>LEFT($E$7,1)="✔"</formula>
    </cfRule>
  </conditionalFormatting>
  <dataValidations count="11">
    <dataValidation type="textLength" allowBlank="1" showInputMessage="1" showErrorMessage="1" errorTitle="Nome inválido" error="O nome deve ter entre 3 e 150 caracteres." promptTitle="Nome completo" prompt="Informe o nome completo, igual ao documento." sqref="D6" xr:uid="{00000000-0002-0000-0000-000000000000}">
      <formula1>3</formula1>
      <formula2>150</formula2>
    </dataValidation>
    <dataValidation type="custom" allowBlank="1" showInputMessage="1" showErrorMessage="1" errorTitle="CPF inválido" error="Digite apenas números (até 11 dígitos)." promptTitle="CPF" prompt="Digite somente os 11 números, sem pontos ou traço." sqref="D7" xr:uid="{00000000-0002-0000-0000-000001000000}">
      <formula1>AND(ISNUMBER(D7),D7&gt;0,D7&lt;=99999999999,INT(D7)=D7)</formula1>
    </dataValidation>
    <dataValidation type="date" allowBlank="1" showInputMessage="1" showErrorMessage="1" errorTitle="Data inválida" error="Informe uma data válida e não futura." promptTitle="Data de nascimento" prompt="Formato dd/mm/aaaa." sqref="D8" xr:uid="{00000000-0002-0000-0000-000002000000}">
      <formula1>DATE(1900,1,1)</formula1>
      <formula2>TODAY()</formula2>
    </dataValidation>
    <dataValidation type="whole" allowBlank="1" showInputMessage="1" showErrorMessage="1" errorTitle="Título inválido" error="Digite apenas números (até 12 dígitos)." promptTitle="Título de eleitor" prompt="Somente números (12 dígitos)." sqref="D9" xr:uid="{00000000-0002-0000-0000-000003000000}">
      <formula1>1</formula1>
      <formula2>999999999999</formula2>
    </dataValidation>
    <dataValidation type="textLength" operator="lessThanOrEqual" allowBlank="1" showInputMessage="1" showErrorMessage="1" errorTitle="Texto muito longo" error="Máximo de 150 caracteres." sqref="D10:D11" xr:uid="{00000000-0002-0000-0000-000004000000}">
      <formula1>150</formula1>
    </dataValidation>
    <dataValidation type="textLength" operator="lessThanOrEqual" allowBlank="1" showInputMessage="1" showErrorMessage="1" errorTitle="Texto muito longo" error="O endereço abreviado deve ter no máximo 40 caracteres." promptTitle="Endereço abreviado" prompt="Versão curta do endereço (até 40 caracteres)." sqref="D12" xr:uid="{00000000-0002-0000-0000-000005000000}">
      <formula1>40</formula1>
    </dataValidation>
    <dataValidation type="whole" allowBlank="1" showInputMessage="1" showErrorMessage="1" errorTitle="CEP inválido" error="Digite os 8 números do CEP, sem traço." promptTitle="CEP" prompt="Somente números (8 dígitos)." sqref="D13" xr:uid="{00000000-0002-0000-0000-000006000000}">
      <formula1>1000000</formula1>
      <formula2>99999999</formula2>
    </dataValidation>
    <dataValidation type="whole" allowBlank="1" showInputMessage="1" showErrorMessage="1" errorTitle="Telefone inválido" error="Digite DDD + 8 dígitos, somente números." promptTitle="Telefone fixo" prompt="DDD + número (10 dígitos), sem espaços." sqref="D14" xr:uid="{00000000-0002-0000-0000-000007000000}">
      <formula1>1000000000</formula1>
      <formula2>9999999999</formula2>
    </dataValidation>
    <dataValidation type="whole" allowBlank="1" showInputMessage="1" showErrorMessage="1" errorTitle="Celular inválido" error="Digite DDD + 9 dígitos, somente números." promptTitle="Celular" prompt="DDD + número (11 dígitos), sem espaços." sqref="D15" xr:uid="{00000000-0002-0000-0000-000008000000}">
      <formula1>10000000000</formula1>
      <formula2>99999999999</formula2>
    </dataValidation>
    <dataValidation type="custom" allowBlank="1" showInputMessage="1" showErrorMessage="1" errorTitle="E-mail inválido" error="Informe um e-mail válido (precisa conter @ e domínio)." promptTitle="E-mail" prompt="Ex.: nome@provedor.com" sqref="D16" xr:uid="{00000000-0002-0000-0000-000009000000}">
      <formula1>AND(ISNUMBER(FIND("@",D16)),ISNUMBER(FIND(".",D16,FIND("@",D16))),LEN(D16)&gt;=6,ISERROR(FIND(" ",D16)))</formula1>
    </dataValidation>
    <dataValidation type="list" allowBlank="1" showInputMessage="1" showErrorMessage="1" errorTitle="Opção inválida" error="Escolha uma opção da lista: SIM ou NÃO." promptTitle="Selecione" prompt="Escolha SIM ou NÃO." sqref="D17:D19" xr:uid="{00000000-0002-0000-0000-00000A000000}">
      <formula1>"SIM,NÃO"</formula1>
    </dataValidation>
  </dataValidations>
  <hyperlinks>
    <hyperlink ref="D16" r:id="rId1" xr:uid="{00000000-0004-0000-0000-000000000000}"/>
  </hyperlinks>
  <printOptions horizontalCentered="1"/>
  <pageMargins left="0.75" right="0.75" top="1" bottom="1" header="0.5" footer="0.5"/>
  <pageSetup fitToHeight="0" orientation="landscape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478C27"/>
    <pageSetUpPr fitToPage="1"/>
  </sheetPr>
  <dimension ref="A1:E60"/>
  <sheetViews>
    <sheetView showGridLines="0" topLeftCell="A13" workbookViewId="0">
      <selection activeCell="D10" sqref="D10"/>
    </sheetView>
  </sheetViews>
  <sheetFormatPr defaultRowHeight="15" x14ac:dyDescent="0.25"/>
  <cols>
    <col min="1" max="1" width="32" style="1" customWidth="1"/>
    <col min="2" max="2" width="4" customWidth="1"/>
    <col min="3" max="3" width="46" customWidth="1"/>
    <col min="4" max="4" width="44" customWidth="1"/>
    <col min="5" max="5" width="26" customWidth="1"/>
  </cols>
  <sheetData>
    <row r="1" spans="3:5" ht="21" customHeight="1" x14ac:dyDescent="0.25"/>
    <row r="2" spans="3:5" ht="21" customHeight="1" x14ac:dyDescent="0.25"/>
    <row r="3" spans="3:5" ht="30" customHeight="1" x14ac:dyDescent="0.25">
      <c r="C3" s="2" t="s">
        <v>33</v>
      </c>
      <c r="D3" s="3"/>
      <c r="E3" s="3"/>
    </row>
    <row r="4" spans="3:5" ht="24" customHeight="1" x14ac:dyDescent="0.25">
      <c r="C4" s="26" t="s">
        <v>34</v>
      </c>
      <c r="D4" s="27"/>
      <c r="E4" s="27"/>
    </row>
    <row r="5" spans="3:5" ht="21" customHeight="1" x14ac:dyDescent="0.25"/>
    <row r="6" spans="3:5" ht="21" customHeight="1" x14ac:dyDescent="0.25">
      <c r="C6" s="16" t="s">
        <v>35</v>
      </c>
    </row>
    <row r="7" spans="3:5" ht="27.95" customHeight="1" x14ac:dyDescent="0.25">
      <c r="C7" s="28">
        <f>SUM(D11,D16,D21)</f>
        <v>27571.25</v>
      </c>
      <c r="D7" s="29"/>
    </row>
    <row r="8" spans="3:5" ht="21" customHeight="1" x14ac:dyDescent="0.25"/>
    <row r="9" spans="3:5" ht="21" customHeight="1" x14ac:dyDescent="0.25">
      <c r="C9" s="17" t="s">
        <v>36</v>
      </c>
    </row>
    <row r="10" spans="3:5" ht="21" customHeight="1" x14ac:dyDescent="0.25">
      <c r="C10" s="4" t="s">
        <v>37</v>
      </c>
      <c r="D10" s="5" t="s">
        <v>38</v>
      </c>
      <c r="E10" s="6" t="s">
        <v>29</v>
      </c>
    </row>
    <row r="11" spans="3:5" ht="21" customHeight="1" x14ac:dyDescent="0.25">
      <c r="C11" s="4" t="s">
        <v>39</v>
      </c>
      <c r="D11" s="18">
        <v>15000</v>
      </c>
      <c r="E11" s="6" t="s">
        <v>40</v>
      </c>
    </row>
    <row r="12" spans="3:5" ht="21" customHeight="1" x14ac:dyDescent="0.25">
      <c r="C12" s="4" t="s">
        <v>41</v>
      </c>
      <c r="D12" s="5" t="s">
        <v>42</v>
      </c>
      <c r="E12" s="15" t="str">
        <f>IF(D12="","",HYPERLINK(D12,"📂 abrir anexo"))</f>
        <v>📂 abrir anexo</v>
      </c>
    </row>
    <row r="13" spans="3:5" ht="21" customHeight="1" x14ac:dyDescent="0.25"/>
    <row r="14" spans="3:5" ht="21" customHeight="1" x14ac:dyDescent="0.25">
      <c r="C14" s="17" t="s">
        <v>43</v>
      </c>
    </row>
    <row r="15" spans="3:5" ht="21" customHeight="1" x14ac:dyDescent="0.25">
      <c r="C15" s="4" t="s">
        <v>37</v>
      </c>
      <c r="D15" s="5" t="s">
        <v>44</v>
      </c>
      <c r="E15" s="6" t="s">
        <v>29</v>
      </c>
    </row>
    <row r="16" spans="3:5" ht="21" customHeight="1" x14ac:dyDescent="0.25">
      <c r="C16" s="4" t="s">
        <v>39</v>
      </c>
      <c r="D16" s="18">
        <v>8250.35</v>
      </c>
      <c r="E16" s="6" t="s">
        <v>40</v>
      </c>
    </row>
    <row r="17" spans="3:5" ht="21" customHeight="1" x14ac:dyDescent="0.25">
      <c r="C17" s="4" t="s">
        <v>41</v>
      </c>
      <c r="D17" s="5" t="s">
        <v>45</v>
      </c>
      <c r="E17" s="15" t="str">
        <f>IF(D17="","",HYPERLINK(D17,"📂 abrir anexo"))</f>
        <v>📂 abrir anexo</v>
      </c>
    </row>
    <row r="18" spans="3:5" ht="21" customHeight="1" x14ac:dyDescent="0.25"/>
    <row r="19" spans="3:5" ht="21" customHeight="1" x14ac:dyDescent="0.25">
      <c r="C19" s="17" t="s">
        <v>46</v>
      </c>
    </row>
    <row r="20" spans="3:5" ht="21" customHeight="1" x14ac:dyDescent="0.25">
      <c r="C20" s="4" t="s">
        <v>37</v>
      </c>
      <c r="D20" s="5" t="s">
        <v>47</v>
      </c>
      <c r="E20" s="6" t="s">
        <v>29</v>
      </c>
    </row>
    <row r="21" spans="3:5" ht="21" customHeight="1" x14ac:dyDescent="0.25">
      <c r="C21" s="4" t="s">
        <v>39</v>
      </c>
      <c r="D21" s="18">
        <v>4320.8999999999996</v>
      </c>
      <c r="E21" s="6" t="s">
        <v>40</v>
      </c>
    </row>
    <row r="22" spans="3:5" ht="21" customHeight="1" x14ac:dyDescent="0.25">
      <c r="C22" s="4" t="s">
        <v>41</v>
      </c>
      <c r="D22" s="5" t="s">
        <v>48</v>
      </c>
      <c r="E22" s="15" t="str">
        <f>IF(D22="","",HYPERLINK(D22,"📂 abrir anexo"))</f>
        <v>📂 abrir anexo</v>
      </c>
    </row>
    <row r="23" spans="3:5" ht="21" customHeight="1" x14ac:dyDescent="0.25"/>
    <row r="24" spans="3:5" ht="21" customHeight="1" x14ac:dyDescent="0.25"/>
    <row r="25" spans="3:5" ht="21" customHeight="1" x14ac:dyDescent="0.25"/>
    <row r="26" spans="3:5" ht="21" customHeight="1" x14ac:dyDescent="0.25"/>
    <row r="27" spans="3:5" ht="21" customHeight="1" x14ac:dyDescent="0.25"/>
    <row r="28" spans="3:5" ht="21" customHeight="1" x14ac:dyDescent="0.25"/>
    <row r="29" spans="3:5" ht="21" customHeight="1" x14ac:dyDescent="0.25"/>
    <row r="30" spans="3:5" ht="21" customHeight="1" x14ac:dyDescent="0.25"/>
    <row r="31" spans="3:5" ht="21" customHeight="1" x14ac:dyDescent="0.25"/>
    <row r="32" spans="3:5" ht="21" customHeight="1" x14ac:dyDescent="0.25"/>
    <row r="33" ht="21" customHeight="1" x14ac:dyDescent="0.25"/>
    <row r="34" ht="21" customHeight="1" x14ac:dyDescent="0.25"/>
    <row r="35" ht="21" customHeight="1" x14ac:dyDescent="0.25"/>
    <row r="36" ht="21" customHeight="1" x14ac:dyDescent="0.25"/>
    <row r="37" ht="21" customHeight="1" x14ac:dyDescent="0.25"/>
    <row r="38" ht="21" customHeight="1" x14ac:dyDescent="0.25"/>
    <row r="39" ht="21" customHeight="1" x14ac:dyDescent="0.25"/>
    <row r="40" ht="21" customHeight="1" x14ac:dyDescent="0.25"/>
    <row r="41" ht="21" customHeight="1" x14ac:dyDescent="0.25"/>
    <row r="42" ht="21" customHeight="1" x14ac:dyDescent="0.25"/>
    <row r="43" ht="21" customHeight="1" x14ac:dyDescent="0.25"/>
    <row r="44" ht="21" customHeight="1" x14ac:dyDescent="0.25"/>
    <row r="45" ht="21" customHeight="1" x14ac:dyDescent="0.25"/>
    <row r="46" ht="21" customHeight="1" x14ac:dyDescent="0.25"/>
    <row r="47" ht="21" customHeight="1" x14ac:dyDescent="0.25"/>
    <row r="48" ht="21" customHeight="1" x14ac:dyDescent="0.25"/>
    <row r="49" ht="21" customHeight="1" x14ac:dyDescent="0.25"/>
    <row r="50" ht="21" customHeight="1" x14ac:dyDescent="0.25"/>
    <row r="51" ht="21" customHeight="1" x14ac:dyDescent="0.25"/>
    <row r="52" ht="21" customHeight="1" x14ac:dyDescent="0.25"/>
    <row r="53" ht="21" customHeight="1" x14ac:dyDescent="0.25"/>
    <row r="54" ht="21" customHeight="1" x14ac:dyDescent="0.25"/>
    <row r="55" ht="21" customHeight="1" x14ac:dyDescent="0.25"/>
    <row r="56" ht="21" customHeight="1" x14ac:dyDescent="0.25"/>
    <row r="57" ht="21" customHeight="1" x14ac:dyDescent="0.25"/>
    <row r="58" ht="21" customHeight="1" x14ac:dyDescent="0.25"/>
    <row r="59" ht="21" customHeight="1" x14ac:dyDescent="0.25"/>
    <row r="60" ht="21" customHeight="1" x14ac:dyDescent="0.25"/>
  </sheetData>
  <mergeCells count="2">
    <mergeCell ref="C4:E4"/>
    <mergeCell ref="C7:D7"/>
  </mergeCells>
  <conditionalFormatting sqref="D10">
    <cfRule type="expression" dxfId="2" priority="1">
      <formula>AND($D$10="",$D$11&lt;&gt;"")</formula>
    </cfRule>
  </conditionalFormatting>
  <conditionalFormatting sqref="D15">
    <cfRule type="expression" dxfId="1" priority="2">
      <formula>AND($D$15="",$D$16&lt;&gt;"")</formula>
    </cfRule>
  </conditionalFormatting>
  <conditionalFormatting sqref="D20">
    <cfRule type="expression" dxfId="0" priority="3">
      <formula>AND($D$20="",$D$21&lt;&gt;"")</formula>
    </cfRule>
  </conditionalFormatting>
  <dataValidations count="3">
    <dataValidation type="list" allowBlank="1" showInputMessage="1" showErrorMessage="1" errorTitle="Banco não encontrado" error="Informe um banco da lista." promptTitle="Informe um banco" prompt="Selecione um banco vinculado ao seu CPF." sqref="D10 D15 D20" xr:uid="{00000000-0002-0000-0100-000000000000}">
      <formula1>ListaBancos</formula1>
    </dataValidation>
    <dataValidation type="decimal" operator="greaterThanOrEqual" allowBlank="1" showInputMessage="1" showErrorMessage="1" errorTitle="Valor inválido" error="Informe um valor numérico maior ou igual a zero." promptTitle="Valor atual" prompt="Saldo/valor informado no informe de rendimentos." sqref="D11 D16 D21" xr:uid="{00000000-0002-0000-0100-000001000000}">
      <formula1>0</formula1>
    </dataValidation>
    <dataValidation type="textLength" operator="lessThanOrEqual" allowBlank="1" showInputMessage="1" showErrorMessage="1" errorTitle="Texto muito longo" error="Máximo de 255 caracteres." promptTitle="Anexo" prompt="Nome ou caminho do arquivo do informe (ex.: informe_banco.pdf). Coloque o PDF na mesma pasta da planilha para abrir pelo link." sqref="D12 D17 D22" xr:uid="{00000000-0002-0000-0100-000002000000}">
      <formula1>255</formula1>
    </dataValidation>
  </dataValidations>
  <printOptions horizontalCentered="1"/>
  <pageMargins left="0.75" right="0.75" top="1" bottom="1" header="0.5" footer="0.5"/>
  <pageSetup fitToHeight="0"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31731F"/>
    <pageSetUpPr fitToPage="1"/>
  </sheetPr>
  <dimension ref="A1:E60"/>
  <sheetViews>
    <sheetView showGridLines="0" workbookViewId="0">
      <selection activeCell="C2" sqref="C2"/>
    </sheetView>
  </sheetViews>
  <sheetFormatPr defaultRowHeight="15" x14ac:dyDescent="0.25"/>
  <cols>
    <col min="1" max="1" width="32" style="1" customWidth="1"/>
    <col min="2" max="2" width="4" customWidth="1"/>
    <col min="3" max="3" width="46" customWidth="1"/>
    <col min="4" max="4" width="44" customWidth="1"/>
    <col min="5" max="5" width="26" customWidth="1"/>
  </cols>
  <sheetData>
    <row r="1" spans="3:5" ht="21" customHeight="1" x14ac:dyDescent="0.25"/>
    <row r="2" spans="3:5" ht="21" customHeight="1" x14ac:dyDescent="0.25"/>
    <row r="3" spans="3:5" ht="30" customHeight="1" x14ac:dyDescent="0.25">
      <c r="C3" s="2" t="s">
        <v>49</v>
      </c>
      <c r="D3" s="3"/>
      <c r="E3" s="3"/>
    </row>
    <row r="4" spans="3:5" ht="24" customHeight="1" x14ac:dyDescent="0.25">
      <c r="C4" s="26" t="s">
        <v>50</v>
      </c>
      <c r="D4" s="27"/>
      <c r="E4" s="27"/>
    </row>
    <row r="5" spans="3:5" ht="21" customHeight="1" x14ac:dyDescent="0.25">
      <c r="C5" s="16" t="s">
        <v>51</v>
      </c>
      <c r="D5" s="19">
        <f>SUM(Entradas[VALOR])</f>
        <v>17500</v>
      </c>
    </row>
    <row r="6" spans="3:5" ht="21" customHeight="1" x14ac:dyDescent="0.25"/>
    <row r="7" spans="3:5" ht="21" customHeight="1" x14ac:dyDescent="0.25">
      <c r="C7" s="30" t="s">
        <v>52</v>
      </c>
      <c r="D7" s="27"/>
      <c r="E7" s="27"/>
    </row>
    <row r="8" spans="3:5" ht="21" customHeight="1" x14ac:dyDescent="0.25">
      <c r="C8" s="20" t="s">
        <v>53</v>
      </c>
      <c r="D8" s="20" t="s">
        <v>54</v>
      </c>
      <c r="E8" s="20" t="s">
        <v>55</v>
      </c>
    </row>
    <row r="9" spans="3:5" ht="21" customHeight="1" x14ac:dyDescent="0.25">
      <c r="C9" s="21">
        <v>45662</v>
      </c>
      <c r="D9" s="22" t="s">
        <v>56</v>
      </c>
      <c r="E9" s="23">
        <v>4500</v>
      </c>
    </row>
    <row r="10" spans="3:5" ht="21" customHeight="1" x14ac:dyDescent="0.25">
      <c r="C10" s="21">
        <v>45677</v>
      </c>
      <c r="D10" s="22" t="s">
        <v>57</v>
      </c>
      <c r="E10" s="23">
        <v>1200</v>
      </c>
    </row>
    <row r="11" spans="3:5" ht="21" customHeight="1" x14ac:dyDescent="0.25">
      <c r="C11" s="21">
        <v>45693</v>
      </c>
      <c r="D11" s="22" t="s">
        <v>56</v>
      </c>
      <c r="E11" s="23">
        <v>4500</v>
      </c>
    </row>
    <row r="12" spans="3:5" ht="21" customHeight="1" x14ac:dyDescent="0.25">
      <c r="C12" s="21">
        <v>45721</v>
      </c>
      <c r="D12" s="22" t="s">
        <v>56</v>
      </c>
      <c r="E12" s="23">
        <v>4500</v>
      </c>
    </row>
    <row r="13" spans="3:5" ht="21" customHeight="1" x14ac:dyDescent="0.25">
      <c r="C13" s="21">
        <v>45734</v>
      </c>
      <c r="D13" s="22" t="s">
        <v>58</v>
      </c>
      <c r="E13" s="23">
        <v>2800</v>
      </c>
    </row>
    <row r="14" spans="3:5" ht="21" customHeight="1" x14ac:dyDescent="0.25">
      <c r="C14" s="21"/>
      <c r="D14" s="22"/>
      <c r="E14" s="23"/>
    </row>
    <row r="15" spans="3:5" ht="21" customHeight="1" x14ac:dyDescent="0.25">
      <c r="C15" s="21"/>
      <c r="D15" s="22"/>
      <c r="E15" s="23"/>
    </row>
    <row r="16" spans="3:5" ht="21" customHeight="1" x14ac:dyDescent="0.25">
      <c r="C16" s="21"/>
      <c r="D16" s="22"/>
      <c r="E16" s="23"/>
    </row>
    <row r="17" spans="3:5" ht="21" customHeight="1" x14ac:dyDescent="0.25">
      <c r="C17" s="21"/>
      <c r="D17" s="22"/>
      <c r="E17" s="23"/>
    </row>
    <row r="18" spans="3:5" ht="21" customHeight="1" x14ac:dyDescent="0.25">
      <c r="C18" s="21"/>
      <c r="D18" s="22"/>
      <c r="E18" s="23"/>
    </row>
    <row r="19" spans="3:5" ht="21" customHeight="1" x14ac:dyDescent="0.25">
      <c r="C19" s="21"/>
      <c r="D19" s="22"/>
      <c r="E19" s="23"/>
    </row>
    <row r="20" spans="3:5" ht="21" customHeight="1" x14ac:dyDescent="0.25">
      <c r="C20" s="21"/>
      <c r="D20" s="22"/>
      <c r="E20" s="23"/>
    </row>
    <row r="21" spans="3:5" ht="21" customHeight="1" x14ac:dyDescent="0.25">
      <c r="C21" s="21"/>
      <c r="D21" s="22"/>
      <c r="E21" s="23"/>
    </row>
    <row r="22" spans="3:5" ht="21" customHeight="1" x14ac:dyDescent="0.25">
      <c r="C22" s="21"/>
      <c r="D22" s="22"/>
      <c r="E22" s="23"/>
    </row>
    <row r="23" spans="3:5" ht="21" customHeight="1" x14ac:dyDescent="0.25">
      <c r="C23" s="21"/>
      <c r="D23" s="22"/>
      <c r="E23" s="23"/>
    </row>
    <row r="24" spans="3:5" ht="21" customHeight="1" x14ac:dyDescent="0.25">
      <c r="C24" s="21"/>
      <c r="D24" s="22"/>
      <c r="E24" s="23"/>
    </row>
    <row r="25" spans="3:5" ht="21" customHeight="1" x14ac:dyDescent="0.25">
      <c r="C25" s="21"/>
      <c r="D25" s="22"/>
      <c r="E25" s="23"/>
    </row>
    <row r="26" spans="3:5" ht="21" customHeight="1" x14ac:dyDescent="0.25">
      <c r="C26" s="21"/>
      <c r="D26" s="22"/>
      <c r="E26" s="23"/>
    </row>
    <row r="27" spans="3:5" ht="21" customHeight="1" x14ac:dyDescent="0.25">
      <c r="C27" s="21"/>
      <c r="D27" s="22"/>
      <c r="E27" s="23"/>
    </row>
    <row r="28" spans="3:5" ht="21" customHeight="1" x14ac:dyDescent="0.25">
      <c r="C28" s="21"/>
      <c r="D28" s="22"/>
      <c r="E28" s="23"/>
    </row>
    <row r="29" spans="3:5" ht="21" customHeight="1" x14ac:dyDescent="0.25">
      <c r="C29" s="21"/>
      <c r="D29" s="22"/>
      <c r="E29" s="23"/>
    </row>
    <row r="30" spans="3:5" ht="21" customHeight="1" x14ac:dyDescent="0.25">
      <c r="C30" s="21"/>
      <c r="D30" s="22"/>
      <c r="E30" s="23"/>
    </row>
    <row r="31" spans="3:5" ht="21" customHeight="1" x14ac:dyDescent="0.25">
      <c r="C31" s="21"/>
      <c r="D31" s="22"/>
      <c r="E31" s="23"/>
    </row>
    <row r="32" spans="3:5" ht="21" customHeight="1" x14ac:dyDescent="0.25">
      <c r="C32" s="21"/>
      <c r="D32" s="22"/>
      <c r="E32" s="23"/>
    </row>
    <row r="33" spans="3:5" ht="21" customHeight="1" x14ac:dyDescent="0.25">
      <c r="C33" s="21"/>
      <c r="D33" s="22"/>
      <c r="E33" s="23"/>
    </row>
    <row r="34" spans="3:5" ht="21" customHeight="1" x14ac:dyDescent="0.25">
      <c r="C34" s="21"/>
      <c r="D34" s="22"/>
      <c r="E34" s="23"/>
    </row>
    <row r="35" spans="3:5" ht="21" customHeight="1" x14ac:dyDescent="0.25">
      <c r="C35" s="21"/>
      <c r="D35" s="22"/>
      <c r="E35" s="23"/>
    </row>
    <row r="36" spans="3:5" ht="21" customHeight="1" x14ac:dyDescent="0.25"/>
    <row r="37" spans="3:5" ht="21" customHeight="1" x14ac:dyDescent="0.25"/>
    <row r="38" spans="3:5" ht="21" customHeight="1" x14ac:dyDescent="0.25"/>
    <row r="39" spans="3:5" ht="21" customHeight="1" x14ac:dyDescent="0.25"/>
    <row r="40" spans="3:5" ht="21" customHeight="1" x14ac:dyDescent="0.25"/>
    <row r="41" spans="3:5" ht="21" customHeight="1" x14ac:dyDescent="0.25"/>
    <row r="42" spans="3:5" ht="21" customHeight="1" x14ac:dyDescent="0.25"/>
    <row r="43" spans="3:5" ht="21" customHeight="1" x14ac:dyDescent="0.25"/>
    <row r="44" spans="3:5" ht="21" customHeight="1" x14ac:dyDescent="0.25"/>
    <row r="45" spans="3:5" ht="21" customHeight="1" x14ac:dyDescent="0.25"/>
    <row r="46" spans="3:5" ht="21" customHeight="1" x14ac:dyDescent="0.25"/>
    <row r="47" spans="3:5" ht="21" customHeight="1" x14ac:dyDescent="0.25"/>
    <row r="48" spans="3:5" ht="21" customHeight="1" x14ac:dyDescent="0.25"/>
    <row r="49" ht="21" customHeight="1" x14ac:dyDescent="0.25"/>
    <row r="50" ht="21" customHeight="1" x14ac:dyDescent="0.25"/>
    <row r="51" ht="21" customHeight="1" x14ac:dyDescent="0.25"/>
    <row r="52" ht="21" customHeight="1" x14ac:dyDescent="0.25"/>
    <row r="53" ht="21" customHeight="1" x14ac:dyDescent="0.25"/>
    <row r="54" ht="21" customHeight="1" x14ac:dyDescent="0.25"/>
    <row r="55" ht="21" customHeight="1" x14ac:dyDescent="0.25"/>
    <row r="56" ht="21" customHeight="1" x14ac:dyDescent="0.25"/>
    <row r="57" ht="21" customHeight="1" x14ac:dyDescent="0.25"/>
    <row r="58" ht="21" customHeight="1" x14ac:dyDescent="0.25"/>
    <row r="59" ht="21" customHeight="1" x14ac:dyDescent="0.25"/>
    <row r="60" ht="21" customHeight="1" x14ac:dyDescent="0.25"/>
  </sheetData>
  <mergeCells count="2">
    <mergeCell ref="C7:E7"/>
    <mergeCell ref="C4:E4"/>
  </mergeCells>
  <dataValidations count="3">
    <dataValidation type="date" allowBlank="1" showInputMessage="1" showErrorMessage="1" errorTitle="Data inválida" error="Informe uma data válida." promptTitle="Data" prompt="Data do recebimento (dd/mm/aaaa)." sqref="C9:C35" xr:uid="{00000000-0002-0000-0200-000000000000}">
      <formula1>DATE(2000,1,1)</formula1>
      <formula2>DATE(2100,12,31)</formula2>
    </dataValidation>
    <dataValidation type="list" allowBlank="1" showInputMessage="1" showErrorMessage="1" errorTitle="Categoria inválida" error="Escolha uma categoria da lista." promptTitle="Categoria" prompt="HOLERITE, CNPJ ou FREELANCE." sqref="D9:D35" xr:uid="{00000000-0002-0000-0200-000001000000}">
      <formula1>ListaCategorias</formula1>
    </dataValidation>
    <dataValidation type="decimal" operator="greaterThan" allowBlank="1" showInputMessage="1" showErrorMessage="1" errorTitle="Valor inválido" error="Informe um valor numérico maior que zero." promptTitle="Valor" prompt="Valor recebido (maior que zero)." sqref="E9:E35" xr:uid="{00000000-0002-0000-0200-000002000000}">
      <formula1>0</formula1>
    </dataValidation>
  </dataValidations>
  <printOptions horizontalCentered="1"/>
  <pageMargins left="0.75" right="0.75" top="1" bottom="1" header="0.5" footer="0.5"/>
  <pageSetup fitToHeight="0" orientation="landscape"/>
  <drawing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51"/>
  <sheetViews>
    <sheetView showGridLines="0" workbookViewId="0"/>
  </sheetViews>
  <sheetFormatPr defaultRowHeight="15" x14ac:dyDescent="0.25"/>
  <cols>
    <col min="1" max="1" width="40" customWidth="1"/>
    <col min="3" max="3" width="16" customWidth="1"/>
  </cols>
  <sheetData>
    <row r="1" spans="1:3" x14ac:dyDescent="0.25">
      <c r="A1" s="24" t="s">
        <v>59</v>
      </c>
      <c r="C1" s="24" t="s">
        <v>60</v>
      </c>
    </row>
    <row r="2" spans="1:3" x14ac:dyDescent="0.25">
      <c r="A2" s="25" t="s">
        <v>61</v>
      </c>
      <c r="C2" s="25" t="s">
        <v>56</v>
      </c>
    </row>
    <row r="3" spans="1:3" x14ac:dyDescent="0.25">
      <c r="A3" s="25" t="s">
        <v>62</v>
      </c>
      <c r="C3" s="25" t="s">
        <v>58</v>
      </c>
    </row>
    <row r="4" spans="1:3" x14ac:dyDescent="0.25">
      <c r="A4" s="25" t="s">
        <v>63</v>
      </c>
      <c r="C4" s="25" t="s">
        <v>57</v>
      </c>
    </row>
    <row r="5" spans="1:3" x14ac:dyDescent="0.25">
      <c r="A5" s="25" t="s">
        <v>64</v>
      </c>
    </row>
    <row r="6" spans="1:3" x14ac:dyDescent="0.25">
      <c r="A6" s="25" t="s">
        <v>65</v>
      </c>
    </row>
    <row r="7" spans="1:3" x14ac:dyDescent="0.25">
      <c r="A7" s="25" t="s">
        <v>66</v>
      </c>
    </row>
    <row r="8" spans="1:3" x14ac:dyDescent="0.25">
      <c r="A8" s="25" t="s">
        <v>67</v>
      </c>
    </row>
    <row r="9" spans="1:3" x14ac:dyDescent="0.25">
      <c r="A9" s="25" t="s">
        <v>68</v>
      </c>
    </row>
    <row r="10" spans="1:3" x14ac:dyDescent="0.25">
      <c r="A10" s="25" t="s">
        <v>69</v>
      </c>
    </row>
    <row r="11" spans="1:3" x14ac:dyDescent="0.25">
      <c r="A11" s="25" t="s">
        <v>70</v>
      </c>
    </row>
    <row r="12" spans="1:3" x14ac:dyDescent="0.25">
      <c r="A12" s="25" t="s">
        <v>71</v>
      </c>
    </row>
    <row r="13" spans="1:3" x14ac:dyDescent="0.25">
      <c r="A13" s="25" t="s">
        <v>72</v>
      </c>
    </row>
    <row r="14" spans="1:3" x14ac:dyDescent="0.25">
      <c r="A14" s="25" t="s">
        <v>73</v>
      </c>
    </row>
    <row r="15" spans="1:3" x14ac:dyDescent="0.25">
      <c r="A15" s="25" t="s">
        <v>74</v>
      </c>
    </row>
    <row r="16" spans="1:3" x14ac:dyDescent="0.25">
      <c r="A16" s="25" t="s">
        <v>47</v>
      </c>
    </row>
    <row r="17" spans="1:1" x14ac:dyDescent="0.25">
      <c r="A17" s="25" t="s">
        <v>75</v>
      </c>
    </row>
    <row r="18" spans="1:1" x14ac:dyDescent="0.25">
      <c r="A18" s="25" t="s">
        <v>76</v>
      </c>
    </row>
    <row r="19" spans="1:1" x14ac:dyDescent="0.25">
      <c r="A19" s="25" t="s">
        <v>77</v>
      </c>
    </row>
    <row r="20" spans="1:1" x14ac:dyDescent="0.25">
      <c r="A20" s="25" t="s">
        <v>44</v>
      </c>
    </row>
    <row r="21" spans="1:1" x14ac:dyDescent="0.25">
      <c r="A21" s="25" t="s">
        <v>38</v>
      </c>
    </row>
    <row r="22" spans="1:1" x14ac:dyDescent="0.25">
      <c r="A22" s="25" t="s">
        <v>78</v>
      </c>
    </row>
    <row r="23" spans="1:1" x14ac:dyDescent="0.25">
      <c r="A23" s="25" t="s">
        <v>79</v>
      </c>
    </row>
    <row r="24" spans="1:1" x14ac:dyDescent="0.25">
      <c r="A24" s="25" t="s">
        <v>80</v>
      </c>
    </row>
    <row r="25" spans="1:1" x14ac:dyDescent="0.25">
      <c r="A25" s="25" t="s">
        <v>81</v>
      </c>
    </row>
    <row r="26" spans="1:1" x14ac:dyDescent="0.25">
      <c r="A26" s="25" t="s">
        <v>82</v>
      </c>
    </row>
    <row r="27" spans="1:1" x14ac:dyDescent="0.25">
      <c r="A27" s="25" t="s">
        <v>83</v>
      </c>
    </row>
    <row r="28" spans="1:1" x14ac:dyDescent="0.25">
      <c r="A28" s="25" t="s">
        <v>84</v>
      </c>
    </row>
    <row r="29" spans="1:1" x14ac:dyDescent="0.25">
      <c r="A29" s="25" t="s">
        <v>85</v>
      </c>
    </row>
    <row r="30" spans="1:1" x14ac:dyDescent="0.25">
      <c r="A30" s="25" t="s">
        <v>86</v>
      </c>
    </row>
    <row r="31" spans="1:1" x14ac:dyDescent="0.25">
      <c r="A31" s="25" t="s">
        <v>87</v>
      </c>
    </row>
    <row r="32" spans="1:1" x14ac:dyDescent="0.25">
      <c r="A32" s="25" t="s">
        <v>88</v>
      </c>
    </row>
    <row r="33" spans="1:1" x14ac:dyDescent="0.25">
      <c r="A33" s="25" t="s">
        <v>89</v>
      </c>
    </row>
    <row r="34" spans="1:1" x14ac:dyDescent="0.25">
      <c r="A34" s="25" t="s">
        <v>90</v>
      </c>
    </row>
    <row r="35" spans="1:1" x14ac:dyDescent="0.25">
      <c r="A35" s="25" t="s">
        <v>91</v>
      </c>
    </row>
    <row r="36" spans="1:1" x14ac:dyDescent="0.25">
      <c r="A36" s="25" t="s">
        <v>92</v>
      </c>
    </row>
    <row r="37" spans="1:1" x14ac:dyDescent="0.25">
      <c r="A37" s="25" t="s">
        <v>93</v>
      </c>
    </row>
    <row r="38" spans="1:1" x14ac:dyDescent="0.25">
      <c r="A38" s="25" t="s">
        <v>94</v>
      </c>
    </row>
    <row r="39" spans="1:1" x14ac:dyDescent="0.25">
      <c r="A39" s="25" t="s">
        <v>95</v>
      </c>
    </row>
    <row r="40" spans="1:1" x14ac:dyDescent="0.25">
      <c r="A40" s="25" t="s">
        <v>96</v>
      </c>
    </row>
    <row r="41" spans="1:1" x14ac:dyDescent="0.25">
      <c r="A41" s="25" t="s">
        <v>97</v>
      </c>
    </row>
    <row r="42" spans="1:1" x14ac:dyDescent="0.25">
      <c r="A42" s="25" t="s">
        <v>98</v>
      </c>
    </row>
    <row r="43" spans="1:1" x14ac:dyDescent="0.25">
      <c r="A43" s="25" t="s">
        <v>99</v>
      </c>
    </row>
    <row r="44" spans="1:1" x14ac:dyDescent="0.25">
      <c r="A44" s="25" t="s">
        <v>100</v>
      </c>
    </row>
    <row r="45" spans="1:1" x14ac:dyDescent="0.25">
      <c r="A45" s="25" t="s">
        <v>101</v>
      </c>
    </row>
    <row r="46" spans="1:1" x14ac:dyDescent="0.25">
      <c r="A46" s="25" t="s">
        <v>102</v>
      </c>
    </row>
    <row r="47" spans="1:1" x14ac:dyDescent="0.25">
      <c r="A47" s="25" t="s">
        <v>103</v>
      </c>
    </row>
    <row r="48" spans="1:1" x14ac:dyDescent="0.25">
      <c r="A48" s="25" t="s">
        <v>104</v>
      </c>
    </row>
    <row r="49" spans="1:1" x14ac:dyDescent="0.25">
      <c r="A49" s="25" t="s">
        <v>105</v>
      </c>
    </row>
    <row r="50" spans="1:1" x14ac:dyDescent="0.25">
      <c r="A50" s="25" t="s">
        <v>106</v>
      </c>
    </row>
    <row r="51" spans="1:1" x14ac:dyDescent="0.25">
      <c r="A51" s="25" t="s">
        <v>107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4</vt:i4>
      </vt:variant>
      <vt:variant>
        <vt:lpstr>Intervalos Nomeados</vt:lpstr>
      </vt:variant>
      <vt:variant>
        <vt:i4>2</vt:i4>
      </vt:variant>
    </vt:vector>
  </HeadingPairs>
  <TitlesOfParts>
    <vt:vector size="6" baseType="lpstr">
      <vt:lpstr>TITULAR</vt:lpstr>
      <vt:lpstr>INFORMES</vt:lpstr>
      <vt:lpstr>NOTAS</vt:lpstr>
      <vt:lpstr>TABELAS</vt:lpstr>
      <vt:lpstr>ListaBancos</vt:lpstr>
      <vt:lpstr>ListaCategorias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Declare Fácil</dc:title>
  <dc:subject>Agregador de dados para declaração de IRPF</dc:subject>
  <dc:creator>Pedro Christo</dc:creator>
  <cp:keywords>IRPF; Excel; DIO; Santander</cp:keywords>
  <cp:lastModifiedBy>Pedro Christo Reis</cp:lastModifiedBy>
  <dcterms:created xsi:type="dcterms:W3CDTF">2026-10-16T19:45:24Z</dcterms:created>
  <dcterms:modified xsi:type="dcterms:W3CDTF">2026-10-16T20:22:01Z</dcterms:modified>
</cp:coreProperties>
</file>